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RIPSI\"/>
    </mc:Choice>
  </mc:AlternateContent>
  <xr:revisionPtr revIDLastSave="0" documentId="13_ncr:1_{0C776955-39EF-4412-AE13-B3BD008E0DB1}" xr6:coauthVersionLast="47" xr6:coauthVersionMax="47" xr10:uidLastSave="{00000000-0000-0000-0000-000000000000}"/>
  <bookViews>
    <workbookView xWindow="-110" yWindow="-110" windowWidth="19420" windowHeight="10420" activeTab="2" xr2:uid="{717D493D-E91B-4780-81FA-B0184E2DC1D8}"/>
  </bookViews>
  <sheets>
    <sheet name="KATALOG BARANG" sheetId="1" r:id="rId1"/>
    <sheet name="BARANG MASUK" sheetId="2" r:id="rId2"/>
    <sheet name="BARANG TERJUAL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" i="1"/>
  <c r="D208" i="1"/>
  <c r="C208" i="1"/>
  <c r="E208" i="1" l="1"/>
  <c r="F208" i="1"/>
  <c r="G93" i="1" l="1"/>
  <c r="G73" i="1"/>
  <c r="H89" i="1"/>
  <c r="H106" i="1"/>
  <c r="G133" i="1"/>
  <c r="H14" i="1"/>
  <c r="G30" i="1"/>
  <c r="G54" i="1"/>
  <c r="H74" i="1"/>
  <c r="H90" i="1"/>
  <c r="G109" i="1"/>
  <c r="G134" i="1"/>
  <c r="H18" i="1"/>
  <c r="H10" i="1"/>
  <c r="G26" i="1"/>
  <c r="G47" i="1"/>
  <c r="H70" i="1"/>
  <c r="H86" i="1"/>
  <c r="G105" i="1"/>
  <c r="G129" i="1"/>
  <c r="H46" i="1"/>
  <c r="H102" i="1"/>
  <c r="H27" i="1"/>
  <c r="H50" i="1"/>
  <c r="G11" i="1"/>
  <c r="H6" i="1"/>
  <c r="G20" i="1"/>
  <c r="G39" i="1"/>
  <c r="H62" i="1"/>
  <c r="H81" i="1"/>
  <c r="H97" i="1"/>
  <c r="G121" i="1"/>
  <c r="H161" i="1"/>
  <c r="G22" i="1"/>
  <c r="G43" i="1"/>
  <c r="G82" i="1"/>
  <c r="G98" i="1"/>
  <c r="G122" i="1"/>
  <c r="H177" i="1"/>
  <c r="G7" i="1"/>
  <c r="G19" i="1"/>
  <c r="G38" i="1"/>
  <c r="H59" i="1"/>
  <c r="G78" i="1"/>
  <c r="G94" i="1"/>
  <c r="H118" i="1"/>
  <c r="G3" i="1"/>
  <c r="G23" i="1"/>
  <c r="G126" i="1"/>
  <c r="G77" i="1"/>
  <c r="G79" i="1"/>
  <c r="H185" i="1"/>
  <c r="H170" i="1"/>
  <c r="G142" i="1"/>
  <c r="H15" i="1"/>
  <c r="G31" i="1"/>
  <c r="G85" i="1"/>
  <c r="H69" i="1"/>
  <c r="H58" i="1"/>
  <c r="G141" i="1"/>
  <c r="G114" i="1"/>
  <c r="H200" i="1"/>
  <c r="G112" i="1"/>
  <c r="H180" i="1"/>
  <c r="H115" i="1"/>
  <c r="H146" i="1"/>
  <c r="G153" i="1"/>
  <c r="G66" i="1"/>
  <c r="G76" i="1"/>
  <c r="G164" i="1"/>
  <c r="H108" i="1"/>
  <c r="G162" i="1"/>
  <c r="G192" i="1"/>
  <c r="G130" i="1"/>
  <c r="H92" i="1"/>
  <c r="G196" i="1"/>
  <c r="H148" i="1"/>
  <c r="H103" i="1"/>
  <c r="G113" i="1"/>
  <c r="G163" i="1"/>
  <c r="H181" i="1"/>
  <c r="H16" i="1"/>
  <c r="H101" i="1"/>
  <c r="G55" i="1"/>
  <c r="G155" i="1"/>
  <c r="H34" i="1"/>
  <c r="G144" i="1"/>
  <c r="H37" i="1"/>
  <c r="H159" i="1"/>
  <c r="G36" i="1"/>
  <c r="G51" i="1"/>
  <c r="H117" i="1"/>
  <c r="G140" i="1"/>
  <c r="G128" i="1"/>
  <c r="H152" i="1"/>
  <c r="G135" i="1"/>
  <c r="G119" i="1"/>
  <c r="H189" i="1"/>
  <c r="H132" i="1"/>
  <c r="H184" i="1"/>
  <c r="H143" i="1"/>
  <c r="G32" i="1"/>
  <c r="G61" i="1"/>
  <c r="G53" i="1"/>
  <c r="G124" i="1"/>
  <c r="G197" i="1"/>
  <c r="G139" i="1"/>
  <c r="G111" i="1"/>
  <c r="G149" i="1"/>
  <c r="G193" i="1"/>
  <c r="H8" i="1"/>
  <c r="G175" i="1"/>
  <c r="G4" i="1"/>
  <c r="H44" i="1"/>
  <c r="G207" i="1"/>
  <c r="G104" i="1"/>
  <c r="H65" i="1"/>
  <c r="G125" i="1"/>
  <c r="G21" i="1"/>
  <c r="H68" i="1"/>
  <c r="G198" i="1"/>
  <c r="G187" i="1"/>
  <c r="G120" i="1"/>
  <c r="G150" i="1"/>
  <c r="G40" i="1"/>
  <c r="H183" i="1"/>
  <c r="H158" i="1"/>
  <c r="G96" i="1"/>
  <c r="H57" i="1"/>
  <c r="H188" i="1"/>
  <c r="G190" i="1"/>
  <c r="H173" i="1"/>
  <c r="H87" i="1"/>
  <c r="G52" i="1"/>
  <c r="H100" i="1"/>
  <c r="H71" i="1"/>
  <c r="G176" i="1"/>
  <c r="H35" i="1"/>
  <c r="G64" i="1"/>
  <c r="H75" i="1"/>
  <c r="H136" i="1"/>
  <c r="G63" i="1"/>
  <c r="G123" i="1"/>
  <c r="H138" i="1"/>
  <c r="H49" i="1"/>
  <c r="G17" i="1"/>
  <c r="G205" i="1"/>
  <c r="H199" i="1"/>
  <c r="G154" i="1"/>
  <c r="H137" i="1"/>
  <c r="G145" i="1"/>
  <c r="H41" i="1"/>
  <c r="H160" i="1"/>
  <c r="G116" i="1"/>
  <c r="G151" i="1"/>
  <c r="H33" i="1"/>
  <c r="H91" i="1"/>
  <c r="G48" i="1"/>
  <c r="G174" i="1"/>
  <c r="G28" i="1"/>
  <c r="H172" i="1"/>
  <c r="G95" i="1"/>
  <c r="G5" i="1"/>
  <c r="G186" i="1"/>
  <c r="H206" i="1"/>
  <c r="G99" i="1"/>
  <c r="G182" i="1"/>
  <c r="G171" i="1"/>
  <c r="H168" i="1"/>
  <c r="G195" i="1"/>
  <c r="G191" i="1"/>
  <c r="G201" i="1"/>
  <c r="H131" i="1"/>
  <c r="H156" i="1"/>
  <c r="H179" i="1"/>
  <c r="G157" i="1"/>
  <c r="H60" i="1"/>
  <c r="G127" i="1"/>
  <c r="G147" i="1"/>
  <c r="G83" i="1"/>
  <c r="H12" i="1"/>
  <c r="G166" i="1"/>
  <c r="G25" i="1"/>
  <c r="G107" i="1"/>
  <c r="H72" i="1"/>
  <c r="G9" i="1"/>
  <c r="G169" i="1"/>
  <c r="G24" i="1"/>
  <c r="H88" i="1"/>
  <c r="G67" i="1"/>
  <c r="G13" i="1"/>
  <c r="G45" i="1"/>
  <c r="H204" i="1"/>
  <c r="H2" i="1"/>
  <c r="G41" i="1" l="1"/>
  <c r="H192" i="1"/>
  <c r="G57" i="1"/>
  <c r="H98" i="1"/>
  <c r="H20" i="1"/>
  <c r="G158" i="1"/>
  <c r="H154" i="1"/>
  <c r="G115" i="1"/>
  <c r="G69" i="1"/>
  <c r="H105" i="1"/>
  <c r="H36" i="1"/>
  <c r="G118" i="1"/>
  <c r="H145" i="1"/>
  <c r="H155" i="1"/>
  <c r="H96" i="1"/>
  <c r="H112" i="1"/>
  <c r="G200" i="1"/>
  <c r="H19" i="1"/>
  <c r="G14" i="1"/>
  <c r="G138" i="1"/>
  <c r="G100" i="1"/>
  <c r="H52" i="1"/>
  <c r="G68" i="1"/>
  <c r="H21" i="1"/>
  <c r="G44" i="1"/>
  <c r="H4" i="1"/>
  <c r="H193" i="1"/>
  <c r="H139" i="1"/>
  <c r="H53" i="1"/>
  <c r="G143" i="1"/>
  <c r="G189" i="1"/>
  <c r="H128" i="1"/>
  <c r="G34" i="1"/>
  <c r="H22" i="1"/>
  <c r="H121" i="1"/>
  <c r="H26" i="1"/>
  <c r="G106" i="1"/>
  <c r="H164" i="1"/>
  <c r="H85" i="1"/>
  <c r="G15" i="1"/>
  <c r="G89" i="1"/>
  <c r="H123" i="1"/>
  <c r="G136" i="1"/>
  <c r="G87" i="1"/>
  <c r="H120" i="1"/>
  <c r="H187" i="1"/>
  <c r="G65" i="1"/>
  <c r="H104" i="1"/>
  <c r="G8" i="1"/>
  <c r="G181" i="1"/>
  <c r="H113" i="1"/>
  <c r="H76" i="1"/>
  <c r="H114" i="1"/>
  <c r="G58" i="1"/>
  <c r="H77" i="1"/>
  <c r="H122" i="1"/>
  <c r="G27" i="1"/>
  <c r="H30" i="1"/>
  <c r="H45" i="1"/>
  <c r="H67" i="1"/>
  <c r="H24" i="1"/>
  <c r="H9" i="1"/>
  <c r="H107" i="1"/>
  <c r="H166" i="1"/>
  <c r="H83" i="1"/>
  <c r="H127" i="1"/>
  <c r="H157" i="1"/>
  <c r="G156" i="1"/>
  <c r="H201" i="1"/>
  <c r="H195" i="1"/>
  <c r="H171" i="1"/>
  <c r="H99" i="1"/>
  <c r="H186" i="1"/>
  <c r="H95" i="1"/>
  <c r="H28" i="1"/>
  <c r="H48" i="1"/>
  <c r="H151" i="1"/>
  <c r="G160" i="1"/>
  <c r="G199" i="1"/>
  <c r="H64" i="1"/>
  <c r="H176" i="1"/>
  <c r="G188" i="1"/>
  <c r="G183" i="1"/>
  <c r="H40" i="1"/>
  <c r="H198" i="1"/>
  <c r="H125" i="1"/>
  <c r="H207" i="1"/>
  <c r="H175" i="1"/>
  <c r="H149" i="1"/>
  <c r="H111" i="1"/>
  <c r="H197" i="1"/>
  <c r="H124" i="1"/>
  <c r="H61" i="1"/>
  <c r="H32" i="1"/>
  <c r="G184" i="1"/>
  <c r="G132" i="1"/>
  <c r="H119" i="1"/>
  <c r="G152" i="1"/>
  <c r="H140" i="1"/>
  <c r="H51" i="1"/>
  <c r="G159" i="1"/>
  <c r="H144" i="1"/>
  <c r="G101" i="1"/>
  <c r="H130" i="1"/>
  <c r="H153" i="1"/>
  <c r="H38" i="1"/>
  <c r="G90" i="1"/>
  <c r="H54" i="1"/>
  <c r="G103" i="1"/>
  <c r="G108" i="1"/>
  <c r="H142" i="1"/>
  <c r="G177" i="1"/>
  <c r="G97" i="1"/>
  <c r="G33" i="1"/>
  <c r="H205" i="1"/>
  <c r="G49" i="1"/>
  <c r="G75" i="1"/>
  <c r="G71" i="1"/>
  <c r="G173" i="1"/>
  <c r="H190" i="1"/>
  <c r="H150" i="1"/>
  <c r="G16" i="1"/>
  <c r="G148" i="1"/>
  <c r="G92" i="1"/>
  <c r="G146" i="1"/>
  <c r="G170" i="1"/>
  <c r="H79" i="1"/>
  <c r="H126" i="1"/>
  <c r="H3" i="1"/>
  <c r="H94" i="1"/>
  <c r="G59" i="1"/>
  <c r="H43" i="1"/>
  <c r="G81" i="1"/>
  <c r="H39" i="1"/>
  <c r="G6" i="1"/>
  <c r="G50" i="1"/>
  <c r="G102" i="1"/>
  <c r="H129" i="1"/>
  <c r="G86" i="1"/>
  <c r="H47" i="1"/>
  <c r="G10" i="1"/>
  <c r="H134" i="1"/>
  <c r="H73" i="1"/>
  <c r="G204" i="1"/>
  <c r="H13" i="1"/>
  <c r="G88" i="1"/>
  <c r="H169" i="1"/>
  <c r="G72" i="1"/>
  <c r="H25" i="1"/>
  <c r="G12" i="1"/>
  <c r="H147" i="1"/>
  <c r="G60" i="1"/>
  <c r="G179" i="1"/>
  <c r="G131" i="1"/>
  <c r="H191" i="1"/>
  <c r="G168" i="1"/>
  <c r="H182" i="1"/>
  <c r="G206" i="1"/>
  <c r="H5" i="1"/>
  <c r="G172" i="1"/>
  <c r="H174" i="1"/>
  <c r="G91" i="1"/>
  <c r="H56" i="1"/>
  <c r="G56" i="1"/>
  <c r="G2" i="1"/>
  <c r="H194" i="1"/>
  <c r="G194" i="1"/>
  <c r="G42" i="1"/>
  <c r="H42" i="1"/>
  <c r="H202" i="1"/>
  <c r="G202" i="1"/>
  <c r="H84" i="1"/>
  <c r="G84" i="1"/>
  <c r="H29" i="1"/>
  <c r="G29" i="1"/>
  <c r="H116" i="1"/>
  <c r="G137" i="1"/>
  <c r="H17" i="1"/>
  <c r="H63" i="1"/>
  <c r="G35" i="1"/>
  <c r="H178" i="1"/>
  <c r="G178" i="1"/>
  <c r="H80" i="1"/>
  <c r="G80" i="1"/>
  <c r="G165" i="1"/>
  <c r="H165" i="1"/>
  <c r="G167" i="1"/>
  <c r="H167" i="1"/>
  <c r="H110" i="1"/>
  <c r="G110" i="1"/>
  <c r="G203" i="1"/>
  <c r="H203" i="1"/>
  <c r="H135" i="1"/>
  <c r="G117" i="1"/>
  <c r="G37" i="1"/>
  <c r="H55" i="1"/>
  <c r="H163" i="1"/>
  <c r="H196" i="1"/>
  <c r="H162" i="1"/>
  <c r="H66" i="1"/>
  <c r="G180" i="1"/>
  <c r="H141" i="1"/>
  <c r="H31" i="1"/>
  <c r="G185" i="1"/>
  <c r="H23" i="1"/>
  <c r="H78" i="1"/>
  <c r="H7" i="1"/>
  <c r="H82" i="1"/>
  <c r="G161" i="1"/>
  <c r="G62" i="1"/>
  <c r="H11" i="1"/>
  <c r="G46" i="1"/>
  <c r="G70" i="1"/>
  <c r="G18" i="1"/>
  <c r="H109" i="1"/>
  <c r="G74" i="1"/>
  <c r="H133" i="1"/>
  <c r="H93" i="1"/>
  <c r="H208" i="1" l="1"/>
  <c r="G208" i="1"/>
</calcChain>
</file>

<file path=xl/sharedStrings.xml><?xml version="1.0" encoding="utf-8"?>
<sst xmlns="http://schemas.openxmlformats.org/spreadsheetml/2006/main" count="1369" uniqueCount="219">
  <si>
    <t>NAMA BARANG</t>
  </si>
  <si>
    <t>HARGA JUAL</t>
  </si>
  <si>
    <t>STOK AWAL</t>
  </si>
  <si>
    <t>BARANG MASUK</t>
  </si>
  <si>
    <t>BARANG TERJUAL</t>
  </si>
  <si>
    <t>STOK AKHIR</t>
  </si>
  <si>
    <t>KAS MASUK</t>
  </si>
  <si>
    <t>UUD Amandemen</t>
  </si>
  <si>
    <t xml:space="preserve">Kitab UUD 1945 </t>
  </si>
  <si>
    <t>Buku Mikro Ekonomi</t>
  </si>
  <si>
    <t>Buku Sabar Dan Syukur</t>
  </si>
  <si>
    <t>Buku Farmasi Fisik</t>
  </si>
  <si>
    <t>Buku Akuntansi Biaya</t>
  </si>
  <si>
    <t>Buku Psikologi Komunikasi</t>
  </si>
  <si>
    <t>Buku Pengantar manajemen</t>
  </si>
  <si>
    <t xml:space="preserve">Buku Akuntansi </t>
  </si>
  <si>
    <t>Kamus Al-Ilmu</t>
  </si>
  <si>
    <t>Kamus Al-Alim</t>
  </si>
  <si>
    <t>Kamus Al-Munawir (B)</t>
  </si>
  <si>
    <t>Kamus Al-Munawir (M)</t>
  </si>
  <si>
    <t>Kamus M.Yunus</t>
  </si>
  <si>
    <t>Kamus Kalali</t>
  </si>
  <si>
    <t>Kamus Kasta</t>
  </si>
  <si>
    <t>Kamus Pelangi Inggris</t>
  </si>
  <si>
    <t>Kamus 3 Bahasa</t>
  </si>
  <si>
    <t>Kamus An-Nur</t>
  </si>
  <si>
    <t>Kamus Al-Munawar</t>
  </si>
  <si>
    <t>Kamus Lataskut</t>
  </si>
  <si>
    <t>Kamus Grammar Conversation</t>
  </si>
  <si>
    <t>Kamus Inggris Besar Warna</t>
  </si>
  <si>
    <t>Kamus Inggris Kecil</t>
  </si>
  <si>
    <t>Kamus Inggris Saku</t>
  </si>
  <si>
    <t>Rs.Tuntunan Solat (B)</t>
  </si>
  <si>
    <t>Rs.Tuntunan Solat (T)</t>
  </si>
  <si>
    <t>Rs.Tuntunan Solat (K)</t>
  </si>
  <si>
    <t>Juz 'Amma (B)</t>
  </si>
  <si>
    <t>Juz 'Amma (T)</t>
  </si>
  <si>
    <t>Juz 'Amma (K)</t>
  </si>
  <si>
    <t>Rs.Tuntunan Do'a (B)</t>
  </si>
  <si>
    <t>Rs.Tuntunan Do'a (K)</t>
  </si>
  <si>
    <t>Ad-Diba'I Merah</t>
  </si>
  <si>
    <t>T.Majmu Syarif Warna</t>
  </si>
  <si>
    <t>T.Majmu Syarif HBS</t>
  </si>
  <si>
    <t>T.Majmu Syarif (K)</t>
  </si>
  <si>
    <t>T.Majmu Syarif (S)</t>
  </si>
  <si>
    <t xml:space="preserve">Barjanji Karton HVS (B)  </t>
  </si>
  <si>
    <t xml:space="preserve">Barjanji CD (B)  </t>
  </si>
  <si>
    <t xml:space="preserve">Barjanji Kalep (T)  </t>
  </si>
  <si>
    <t xml:space="preserve">Barjanji Karton (T)  </t>
  </si>
  <si>
    <t xml:space="preserve">Barjanji Kalep (K)  </t>
  </si>
  <si>
    <t>Yasin Fadilah HVS (B)</t>
  </si>
  <si>
    <t>Yasin Fadilah 128</t>
  </si>
  <si>
    <t>Yasin Fadilah 288</t>
  </si>
  <si>
    <t>Yasin Abdul Ajiz</t>
  </si>
  <si>
    <t>Yasin Abdul Hamid</t>
  </si>
  <si>
    <t>Fadilah Arab</t>
  </si>
  <si>
    <t>Fiqih Islam HVS</t>
  </si>
  <si>
    <t>Fiqih Islam CD</t>
  </si>
  <si>
    <t>Fiqih Ibadah</t>
  </si>
  <si>
    <t>Kunci Ibadah</t>
  </si>
  <si>
    <t>Fiqih Wanita</t>
  </si>
  <si>
    <t>Do'a Anak Kecil</t>
  </si>
  <si>
    <t>Do'a Acara Resmi</t>
  </si>
  <si>
    <t>Do'a Hari Besar Nasional</t>
  </si>
  <si>
    <t>Al-Matsurat</t>
  </si>
  <si>
    <t>Sifat Salat Nabi</t>
  </si>
  <si>
    <t>Khusu Dalam Solat</t>
  </si>
  <si>
    <t>Tuntunan Rukiyah</t>
  </si>
  <si>
    <t>Kesalahan Dalam Solat</t>
  </si>
  <si>
    <t>Sifat Wudhu Nabi</t>
  </si>
  <si>
    <t xml:space="preserve">Syarah Safinah </t>
  </si>
  <si>
    <t>Matan Safinah Arab</t>
  </si>
  <si>
    <t>Matan Safinah Jawa</t>
  </si>
  <si>
    <t>SyarahFathul Qorib</t>
  </si>
  <si>
    <t>Matan Ghoyah</t>
  </si>
  <si>
    <t>Syarah Ta'lim</t>
  </si>
  <si>
    <t>Matan Ta'lim</t>
  </si>
  <si>
    <t>Riadussoliin</t>
  </si>
  <si>
    <t>Hikam</t>
  </si>
  <si>
    <t>Shahih Muslim 2 Jilid</t>
  </si>
  <si>
    <t>Shahih Muslim 3 Jilid</t>
  </si>
  <si>
    <t>Shahih Muslim 4 Jilid</t>
  </si>
  <si>
    <t>Ihya Ulumuddin</t>
  </si>
  <si>
    <t>Abi Jamroh</t>
  </si>
  <si>
    <t>Sunan Tirmidzi 5 Jilid</t>
  </si>
  <si>
    <t>Tanwirul Kulub 2 Jilid</t>
  </si>
  <si>
    <t>Tanbihul Ghopilin</t>
  </si>
  <si>
    <t>Jam'ul Jawami</t>
  </si>
  <si>
    <t>Tafsir Ibnu Katsir 10 Jilid</t>
  </si>
  <si>
    <t>Tafsir Al-maraghi 30 Jilid</t>
  </si>
  <si>
    <t>Tafsir Al-misbah 10 Jilid</t>
  </si>
  <si>
    <t>Al-Kawakib</t>
  </si>
  <si>
    <t>Al-Muhadzab 2 Jilid</t>
  </si>
  <si>
    <t>Jalalen 3 Jilid</t>
  </si>
  <si>
    <t>Al-Awal Hc</t>
  </si>
  <si>
    <t>Al- Awal Emas Perak</t>
  </si>
  <si>
    <t>Al-Bari Hc</t>
  </si>
  <si>
    <t>Al-Bari Emas Perak</t>
  </si>
  <si>
    <t>Al- Mu'min Hc</t>
  </si>
  <si>
    <t>Al-Mu'min Emas Perak</t>
  </si>
  <si>
    <t>Al-Muqadim Hc</t>
  </si>
  <si>
    <t>Al-Muqadim Emas Perak</t>
  </si>
  <si>
    <t>Al-Qabidh Hc</t>
  </si>
  <si>
    <t>Al-Qabidh Emas Perak</t>
  </si>
  <si>
    <t>Al-Qadir Hc</t>
  </si>
  <si>
    <t>Al-Qadir Emas Perak</t>
  </si>
  <si>
    <t>As-Syakur Hc</t>
  </si>
  <si>
    <t>As-Syakur Emas Perak</t>
  </si>
  <si>
    <t>Al-Kohar Hc</t>
  </si>
  <si>
    <t>Al-Kohar Emas Perak</t>
  </si>
  <si>
    <t>Ar-Rahma CD</t>
  </si>
  <si>
    <t>Al-Hakim CD</t>
  </si>
  <si>
    <t>Al-Bait's CD</t>
  </si>
  <si>
    <t xml:space="preserve">As-Shabur Tajwid </t>
  </si>
  <si>
    <t>TANGGAL</t>
  </si>
  <si>
    <t>JUMLAH MASUK</t>
  </si>
  <si>
    <t>JUMLAH TERJUAL</t>
  </si>
  <si>
    <t>TOTAL</t>
  </si>
  <si>
    <t>Pensil Gambar (K)</t>
  </si>
  <si>
    <t>Pensil Gambar (B)</t>
  </si>
  <si>
    <t>Pensil Faber-Castell /pak</t>
  </si>
  <si>
    <t>Pensil Mekanik Deli /pcs</t>
  </si>
  <si>
    <t>Pensil Faber-Castell /pcs</t>
  </si>
  <si>
    <t>Penghapus WB</t>
  </si>
  <si>
    <t>Penghapus Joyko (K)</t>
  </si>
  <si>
    <t>Penghapus Joyko (B)</t>
  </si>
  <si>
    <t>Bk.Sidu 38/pak</t>
  </si>
  <si>
    <t>Bk.Sidu 38/pcs</t>
  </si>
  <si>
    <t>Bk.Sidu 58/pak</t>
  </si>
  <si>
    <t>Bk.Sidu 58/pcs</t>
  </si>
  <si>
    <t>Bk.Big Boss K/pak</t>
  </si>
  <si>
    <t>Bk.Big Boss K/pcs</t>
  </si>
  <si>
    <t>Bk.Big Boss C/pak</t>
  </si>
  <si>
    <t>Bk.Big Boss C/pcs</t>
  </si>
  <si>
    <t>Bk.Siswa 38/pcs</t>
  </si>
  <si>
    <t>Bk.Siswa 58/pak</t>
  </si>
  <si>
    <t>Bk.Siswa 58/pcs</t>
  </si>
  <si>
    <t>P.Standar /pak</t>
  </si>
  <si>
    <t>P.Standar /pcs</t>
  </si>
  <si>
    <t>P.Hi-Tech-H Kenko /pak</t>
  </si>
  <si>
    <t>P.Hi-Tech-H Kenko /pcs</t>
  </si>
  <si>
    <t>P.Hi-Tec-C Pilot /pak</t>
  </si>
  <si>
    <t>P.Hi-Tec-C Pilot /pcs</t>
  </si>
  <si>
    <t>P.High-Tech-TF /pak</t>
  </si>
  <si>
    <t>P.High-Tech-TF /pcs</t>
  </si>
  <si>
    <t>P.Gel Pen /pak</t>
  </si>
  <si>
    <t>P.Gel Pen /pcs</t>
  </si>
  <si>
    <t>P.Joyko JK-100/pak</t>
  </si>
  <si>
    <t>P.Joyko JK-100/pcs</t>
  </si>
  <si>
    <t>Drawing Pen Snowman /pak</t>
  </si>
  <si>
    <t>Drawing Pen Snowman /pcs</t>
  </si>
  <si>
    <t>P.Tizo Gel TTG-340 /pak</t>
  </si>
  <si>
    <t>P.Tizo Gel TTG-340/pcs</t>
  </si>
  <si>
    <t>P.Karakter /pak</t>
  </si>
  <si>
    <t>P.Karakter /pcs</t>
  </si>
  <si>
    <t>P.Kokoro Zebra /pak</t>
  </si>
  <si>
    <t>P.Kokoro Zebra /pcs</t>
  </si>
  <si>
    <t>Spidol Permanen /pak</t>
  </si>
  <si>
    <t>Spidol Permanen /pcs</t>
  </si>
  <si>
    <t>Spidol Boardmarker /pak</t>
  </si>
  <si>
    <t>Spidol Boardmarker /pcs</t>
  </si>
  <si>
    <t>Spidol Snowman (K-24)</t>
  </si>
  <si>
    <t>Spidol Snowman (K-12)</t>
  </si>
  <si>
    <t>Spidol Snowman (K-pcs)</t>
  </si>
  <si>
    <t>Snowman Silver/Glod</t>
  </si>
  <si>
    <t>P.Kaligrafi Snowman</t>
  </si>
  <si>
    <t>Sterofom</t>
  </si>
  <si>
    <t>Kertas Manila</t>
  </si>
  <si>
    <t>Kertas Asturo</t>
  </si>
  <si>
    <t>Kertas Karton</t>
  </si>
  <si>
    <t>Cutter Biasa (B)</t>
  </si>
  <si>
    <t>Cutter Biasa (K)</t>
  </si>
  <si>
    <t>Cutter Lipat</t>
  </si>
  <si>
    <t>Cutter Joyko L-500 (B)</t>
  </si>
  <si>
    <t>Cutter Joyko A-300A (K)</t>
  </si>
  <si>
    <t>Isi Cutter Jk L-500</t>
  </si>
  <si>
    <t>Isi Cutter Jk A-300A</t>
  </si>
  <si>
    <t>Isi Spidol Boardmarker</t>
  </si>
  <si>
    <t>Isi Spidol Permanen</t>
  </si>
  <si>
    <t>Lem Tembak /pak</t>
  </si>
  <si>
    <t>Lem Tembak /pcs</t>
  </si>
  <si>
    <t>Lem Alteko</t>
  </si>
  <si>
    <t>Lem G Korea</t>
  </si>
  <si>
    <t>Lem Dlukol (T)</t>
  </si>
  <si>
    <t>Lem Dlukol (K)</t>
  </si>
  <si>
    <t>Lem Fox Putih Botol</t>
  </si>
  <si>
    <t>Lem Fox Putih Refill</t>
  </si>
  <si>
    <t>Lem Fox Kuning Kaleng</t>
  </si>
  <si>
    <t>Lem fox Kuning Odol</t>
  </si>
  <si>
    <t>Lem Stik Joyko (B)</t>
  </si>
  <si>
    <t>Lem Stik Joyko (K)</t>
  </si>
  <si>
    <t>Lem Glue (B)</t>
  </si>
  <si>
    <t>Lem Glue (K)</t>
  </si>
  <si>
    <t>Bk.Siswa 38/pak`</t>
  </si>
  <si>
    <t>Isi Pensil Mekanik</t>
  </si>
  <si>
    <t xml:space="preserve">Penggaris Busur </t>
  </si>
  <si>
    <t>Penggaris Besi 30cm</t>
  </si>
  <si>
    <t>Penggaris 20cm</t>
  </si>
  <si>
    <t>Penggaris 30cm</t>
  </si>
  <si>
    <t xml:space="preserve">Isi Hi-Tec-C Pilot </t>
  </si>
  <si>
    <t>Pensil JK 2B/pak</t>
  </si>
  <si>
    <t>Pensil JK 2B/pcs</t>
  </si>
  <si>
    <t xml:space="preserve">Lakban Bening 1 jari </t>
  </si>
  <si>
    <t>Lakban Bening 2 Jari</t>
  </si>
  <si>
    <t>Lakban Bening Besar</t>
  </si>
  <si>
    <t>Lakban Coklat Besar</t>
  </si>
  <si>
    <t>Double Tip 1 Jari</t>
  </si>
  <si>
    <t>Double Tip 2 jari</t>
  </si>
  <si>
    <t>Double Tip Besar</t>
  </si>
  <si>
    <t>Double Fom Ijo</t>
  </si>
  <si>
    <t>Lakban Kain 1 Jari</t>
  </si>
  <si>
    <t>Lakban Kain 2 Jari</t>
  </si>
  <si>
    <t>Lakban Kain Besar</t>
  </si>
  <si>
    <t>Double Tip Kertas 2 Jari</t>
  </si>
  <si>
    <t>Double Tip Kertas Besar</t>
  </si>
  <si>
    <t>Double Tip Kertas 1 Jari</t>
  </si>
  <si>
    <t>Tip X Cair</t>
  </si>
  <si>
    <t>Tip X Kertas</t>
  </si>
  <si>
    <t>Pensil Mekanik Deli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</si>
</sst>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Rp&quot;* #,##0_-;\-&quot;Rp&quot;* #,##0_-;_-&quot;Rp&quot;* &quot;-&quot;_-;_-@_-"/>
    <numFmt numFmtId="164" formatCode="0;\-0;\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vertical="center" wrapText="1"/>
    </xf>
    <xf numFmtId="0" fontId="0" fillId="0" borderId="0" xfId="0" applyBorder="1"/>
    <xf numFmtId="164" fontId="0" fillId="0" borderId="0" xfId="0" applyNumberFormat="1" applyAlignment="1">
      <alignment horizontal="center"/>
    </xf>
    <xf numFmtId="42" fontId="0" fillId="0" borderId="0" xfId="0" applyNumberFormat="1"/>
    <xf numFmtId="42" fontId="0" fillId="0" borderId="0" xfId="0" applyNumberFormat="1" applyBorder="1" applyAlignment="1">
      <alignment vertical="center" wrapText="1"/>
    </xf>
    <xf numFmtId="14" fontId="0" fillId="0" borderId="0" xfId="0" applyNumberFormat="1"/>
    <xf numFmtId="42" fontId="0" fillId="0" borderId="0" xfId="0" applyNumberFormat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4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0" xfId="0" applyFont="1" applyAlignment="1">
      <alignment vertical="center" wrapText="1"/>
    </xf>
    <xf numFmtId="42" fontId="1" fillId="0" borderId="0" xfId="0" applyNumberFormat="1" applyFont="1" applyAlignment="1">
      <alignment vertical="center" wrapText="1"/>
    </xf>
    <xf numFmtId="164" fontId="1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2" formatCode="_-&quot;Rp&quot;* #,##0_-;\-&quot;Rp&quot;* #,##0_-;_-&quot;Rp&quot;* &quot;-&quot;_-;_-@_-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;\-0;\-"/>
      <alignment horizontal="center" vertical="bottom" textRotation="0" wrapText="0" indent="0" justifyLastLine="0" shrinkToFit="0" readingOrder="0"/>
    </dxf>
    <dxf>
      <numFmt numFmtId="164" formatCode="0;\-0;\-"/>
      <alignment horizontal="center" vertical="bottom" textRotation="0" wrapText="0" indent="0" justifyLastLine="0" shrinkToFit="0" readingOrder="0"/>
    </dxf>
    <dxf>
      <numFmt numFmtId="164" formatCode="0;\-0;\-"/>
      <alignment horizontal="center" vertical="bottom" textRotation="0" wrapText="0" indent="0" justifyLastLine="0" shrinkToFit="0" readingOrder="0"/>
    </dxf>
    <dxf>
      <numFmt numFmtId="32" formatCode="_-&quot;Rp&quot;* #,##0_-;\-&quot;Rp&quot;* #,##0_-;_-&quot;Rp&quot;* &quot;-&quot;_-;_-@_-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F71CEB-DD51-41E4-B615-40624D6EA395}" name="Katalog" displayName="Katalog" ref="B1:H208" totalsRowShown="0">
  <autoFilter ref="B1:H208" xr:uid="{A4F71CEB-DD51-41E4-B615-40624D6EA395}"/>
  <sortState xmlns:xlrd2="http://schemas.microsoft.com/office/spreadsheetml/2017/richdata2" ref="B2:H207">
    <sortCondition ref="B1:B207"/>
  </sortState>
  <tableColumns count="7">
    <tableColumn id="1" xr3:uid="{26CC5F8F-1580-444E-95D8-26F52D83D180}" name="NAMA BARANG" dataDxfId="28"/>
    <tableColumn id="2" xr3:uid="{529D24E2-C53B-4951-B210-C4E19F3862E2}" name="HARGA JUAL" dataDxfId="27"/>
    <tableColumn id="3" xr3:uid="{C07450AD-9931-440B-B9D1-DDA5AD0CF3EF}" name="STOK AWAL" dataDxfId="26"/>
    <tableColumn id="4" xr3:uid="{0F02A5A6-6FF2-427D-B133-C583E089B537}" name="BARANG MASUK" dataDxfId="25">
      <calculatedColumnFormula>SUMIF('BARANG MASUK'!$C$2:$C$144,Katalog[[#This Row],[NAMA BARANG]],'BARANG MASUK'!$D$2:$D$144)</calculatedColumnFormula>
    </tableColumn>
    <tableColumn id="5" xr3:uid="{1EE83B4E-3989-4224-870A-C6443B2B7736}" name="BARANG TERJUAL" dataDxfId="24">
      <calculatedColumnFormula>SUMIF('BARANG TERJUAL'!$C$2:$C$694,Katalog[[#This Row],[NAMA BARANG]],'BARANG TERJUAL'!$D$2:$D$228)</calculatedColumnFormula>
    </tableColumn>
    <tableColumn id="6" xr3:uid="{97A03782-133F-496A-A163-C5D3C7D8776E}" name="STOK AKHIR" dataDxfId="23">
      <calculatedColumnFormula>Katalog[[#This Row],[STOK AWAL]]+Katalog[[#This Row],[BARANG MASUK]]-Katalog[[#This Row],[BARANG TERJUAL]]</calculatedColumnFormula>
    </tableColumn>
    <tableColumn id="7" xr3:uid="{C1A93E6B-AEB6-46DE-9533-E9AA3C3AD7E6}" name="KAS MASUK" dataDxfId="22">
      <calculatedColumnFormula>Katalog[[#This Row],[HARGA JUAL]]*Katalog[[#This Row],[BARANG TERJUAL]]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212036-AD79-426E-9669-CC14B4814441}" name="Table4" displayName="Table4" ref="B1:D206" totalsRowShown="0">
  <autoFilter ref="B1:D206" xr:uid="{B8212036-AD79-426E-9669-CC14B4814441}"/>
  <tableColumns count="3">
    <tableColumn id="1" xr3:uid="{9BACEC1C-ADB2-4373-9427-1CDEBA164A9D}" name="TANGGAL"/>
    <tableColumn id="2" xr3:uid="{827C66AA-42E3-4C0E-B7D3-318D57E6067A}" name="NAMA BARANG"/>
    <tableColumn id="3" xr3:uid="{728AE5A1-F96A-4C77-8515-BA5FE1E5F0F1}" name="JUMLAH MASUK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AC258D-8F87-4526-B7D1-8EF5CEF31C51}" name="Table5" displayName="Table5" ref="B1:D974" totalsRowShown="0">
  <autoFilter ref="B1:D974" xr:uid="{81AC258D-8F87-4526-B7D1-8EF5CEF31C51}"/>
  <tableColumns count="3">
    <tableColumn id="1" xr3:uid="{728DA642-11F5-40F7-8EDF-2070CC25A1F6}" name="TANGGAL"/>
    <tableColumn id="2" xr3:uid="{808659B2-A568-471A-A08A-02311FFCE1A1}" name="NAMA BARANG"/>
    <tableColumn id="3" xr3:uid="{2A75E718-2D74-4929-9062-D88BC320A9C1}" name="JUMLAH TERJUAL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43E7-CB29-4497-ADBA-AF9E91E770CE}">
  <sheetPr codeName="Sheet2"/>
  <dimension ref="B1:H208"/>
  <sheetViews>
    <sheetView zoomScale="72" zoomScaleNormal="72" workbookViewId="0">
      <selection activeCell="B1" sqref="B1:H1"/>
    </sheetView>
  </sheetViews>
  <sheetFormatPr defaultRowHeight="14.5" x14ac:dyDescent="0.35"/>
  <cols>
    <col min="1" max="1" width="3.1796875" customWidth="1"/>
    <col min="2" max="2" width="27.90625" customWidth="1"/>
    <col min="3" max="5" width="17.81640625" customWidth="1"/>
    <col min="6" max="6" width="19.26953125" customWidth="1"/>
    <col min="7" max="8" width="17.81640625" customWidth="1"/>
  </cols>
  <sheetData>
    <row r="1" spans="2:8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2:8" x14ac:dyDescent="0.35">
      <c r="B2" s="2" t="s">
        <v>83</v>
      </c>
      <c r="C2" s="5">
        <v>50000</v>
      </c>
      <c r="D2" s="3">
        <v>44</v>
      </c>
      <c r="E2" s="3">
        <f>SUMIF('BARANG MASUK'!$C$2:$C$294,Katalog[[#This Row],[NAMA BARANG]],'BARANG MASUK'!$D$2:$D$294)</f>
        <v>20</v>
      </c>
      <c r="F2" s="3">
        <f>SUMIF('BARANG TERJUAL'!$C$2:$C$974,Katalog[[#This Row],[NAMA BARANG]],'BARANG TERJUAL'!$D$2:$D$974)</f>
        <v>5</v>
      </c>
      <c r="G2" s="3">
        <f>Katalog[[#This Row],[STOK AWAL]]+Katalog[[#This Row],[BARANG MASUK]]-Katalog[[#This Row],[BARANG TERJUAL]]</f>
        <v>59</v>
      </c>
      <c r="H2" s="4">
        <f>Katalog[[#This Row],[HARGA JUAL]]*Katalog[[#This Row],[BARANG TERJUAL]]</f>
        <v>250000</v>
      </c>
    </row>
    <row r="3" spans="2:8" x14ac:dyDescent="0.35">
      <c r="B3" s="2" t="s">
        <v>40</v>
      </c>
      <c r="C3" s="5">
        <v>5000</v>
      </c>
      <c r="D3" s="3">
        <v>16</v>
      </c>
      <c r="E3" s="3">
        <f>SUMIF('BARANG MASUK'!$C$2:$C$294,Katalog[[#This Row],[NAMA BARANG]],'BARANG MASUK'!$D$2:$D$294)</f>
        <v>30</v>
      </c>
      <c r="F3" s="3">
        <f>SUMIF('BARANG TERJUAL'!$C$2:$C$974,Katalog[[#This Row],[NAMA BARANG]],'BARANG TERJUAL'!$D$2:$D$974)</f>
        <v>5</v>
      </c>
      <c r="G3" s="3">
        <f>Katalog[[#This Row],[STOK AWAL]]+Katalog[[#This Row],[BARANG MASUK]]-Katalog[[#This Row],[BARANG TERJUAL]]</f>
        <v>41</v>
      </c>
      <c r="H3" s="4">
        <f>Katalog[[#This Row],[HARGA JUAL]]*Katalog[[#This Row],[BARANG TERJUAL]]</f>
        <v>25000</v>
      </c>
    </row>
    <row r="4" spans="2:8" x14ac:dyDescent="0.35">
      <c r="B4" s="2" t="s">
        <v>95</v>
      </c>
      <c r="C4" s="5">
        <v>65000</v>
      </c>
      <c r="D4" s="3">
        <v>31</v>
      </c>
      <c r="E4" s="3">
        <f>SUMIF('BARANG MASUK'!$C$2:$C$294,Katalog[[#This Row],[NAMA BARANG]],'BARANG MASUK'!$D$2:$D$294)</f>
        <v>30</v>
      </c>
      <c r="F4" s="3">
        <f>SUMIF('BARANG TERJUAL'!$C$2:$C$974,Katalog[[#This Row],[NAMA BARANG]],'BARANG TERJUAL'!$D$2:$D$974)</f>
        <v>2</v>
      </c>
      <c r="G4" s="3">
        <f>Katalog[[#This Row],[STOK AWAL]]+Katalog[[#This Row],[BARANG MASUK]]-Katalog[[#This Row],[BARANG TERJUAL]]</f>
        <v>59</v>
      </c>
      <c r="H4" s="4">
        <f>Katalog[[#This Row],[HARGA JUAL]]*Katalog[[#This Row],[BARANG TERJUAL]]</f>
        <v>130000</v>
      </c>
    </row>
    <row r="5" spans="2:8" x14ac:dyDescent="0.35">
      <c r="B5" s="2" t="s">
        <v>98</v>
      </c>
      <c r="C5" s="5">
        <v>40000</v>
      </c>
      <c r="D5" s="3">
        <v>13</v>
      </c>
      <c r="E5" s="3">
        <f>SUMIF('BARANG MASUK'!$C$2:$C$294,Katalog[[#This Row],[NAMA BARANG]],'BARANG MASUK'!$D$2:$D$294)</f>
        <v>30</v>
      </c>
      <c r="F5" s="3">
        <f>SUMIF('BARANG TERJUAL'!$C$2:$C$974,Katalog[[#This Row],[NAMA BARANG]],'BARANG TERJUAL'!$D$2:$D$974)</f>
        <v>23</v>
      </c>
      <c r="G5" s="3">
        <f>Katalog[[#This Row],[STOK AWAL]]+Katalog[[#This Row],[BARANG MASUK]]-Katalog[[#This Row],[BARANG TERJUAL]]</f>
        <v>20</v>
      </c>
      <c r="H5" s="4">
        <f>Katalog[[#This Row],[HARGA JUAL]]*Katalog[[#This Row],[BARANG TERJUAL]]</f>
        <v>920000</v>
      </c>
    </row>
    <row r="6" spans="2:8" x14ac:dyDescent="0.35">
      <c r="B6" s="2" t="s">
        <v>94</v>
      </c>
      <c r="C6" s="5">
        <v>60000</v>
      </c>
      <c r="D6" s="3">
        <v>23</v>
      </c>
      <c r="E6" s="3">
        <f>SUMIF('BARANG MASUK'!$C$2:$C$294,Katalog[[#This Row],[NAMA BARANG]],'BARANG MASUK'!$D$2:$D$294)</f>
        <v>30</v>
      </c>
      <c r="F6" s="3">
        <f>SUMIF('BARANG TERJUAL'!$C$2:$C$974,Katalog[[#This Row],[NAMA BARANG]],'BARANG TERJUAL'!$D$2:$D$974)</f>
        <v>10</v>
      </c>
      <c r="G6" s="3">
        <f>Katalog[[#This Row],[STOK AWAL]]+Katalog[[#This Row],[BARANG MASUK]]-Katalog[[#This Row],[BARANG TERJUAL]]</f>
        <v>43</v>
      </c>
      <c r="H6" s="4">
        <f>Katalog[[#This Row],[HARGA JUAL]]*Katalog[[#This Row],[BARANG TERJUAL]]</f>
        <v>600000</v>
      </c>
    </row>
    <row r="7" spans="2:8" x14ac:dyDescent="0.35">
      <c r="B7" s="2" t="s">
        <v>112</v>
      </c>
      <c r="C7" s="5">
        <v>50000</v>
      </c>
      <c r="D7" s="3">
        <v>13</v>
      </c>
      <c r="E7" s="3">
        <f>SUMIF('BARANG MASUK'!$C$2:$C$294,Katalog[[#This Row],[NAMA BARANG]],'BARANG MASUK'!$D$2:$D$294)</f>
        <v>50</v>
      </c>
      <c r="F7" s="3">
        <f>SUMIF('BARANG TERJUAL'!$C$2:$C$974,Katalog[[#This Row],[NAMA BARANG]],'BARANG TERJUAL'!$D$2:$D$974)</f>
        <v>11</v>
      </c>
      <c r="G7" s="3">
        <f>Katalog[[#This Row],[STOK AWAL]]+Katalog[[#This Row],[BARANG MASUK]]-Katalog[[#This Row],[BARANG TERJUAL]]</f>
        <v>52</v>
      </c>
      <c r="H7" s="4">
        <f>Katalog[[#This Row],[HARGA JUAL]]*Katalog[[#This Row],[BARANG TERJUAL]]</f>
        <v>550000</v>
      </c>
    </row>
    <row r="8" spans="2:8" x14ac:dyDescent="0.35">
      <c r="B8" s="2" t="s">
        <v>97</v>
      </c>
      <c r="C8" s="5">
        <v>65000</v>
      </c>
      <c r="D8" s="3">
        <v>10</v>
      </c>
      <c r="E8" s="3">
        <f>SUMIF('BARANG MASUK'!$C$2:$C$294,Katalog[[#This Row],[NAMA BARANG]],'BARANG MASUK'!$D$2:$D$294)</f>
        <v>30</v>
      </c>
      <c r="F8" s="3">
        <f>SUMIF('BARANG TERJUAL'!$C$2:$C$974,Katalog[[#This Row],[NAMA BARANG]],'BARANG TERJUAL'!$D$2:$D$974)</f>
        <v>5</v>
      </c>
      <c r="G8" s="3">
        <f>Katalog[[#This Row],[STOK AWAL]]+Katalog[[#This Row],[BARANG MASUK]]-Katalog[[#This Row],[BARANG TERJUAL]]</f>
        <v>35</v>
      </c>
      <c r="H8" s="4">
        <f>Katalog[[#This Row],[HARGA JUAL]]*Katalog[[#This Row],[BARANG TERJUAL]]</f>
        <v>325000</v>
      </c>
    </row>
    <row r="9" spans="2:8" x14ac:dyDescent="0.35">
      <c r="B9" s="2" t="s">
        <v>96</v>
      </c>
      <c r="C9" s="5">
        <v>55000</v>
      </c>
      <c r="D9" s="3">
        <v>7</v>
      </c>
      <c r="E9" s="3">
        <f>SUMIF('BARANG MASUK'!$C$2:$C$294,Katalog[[#This Row],[NAMA BARANG]],'BARANG MASUK'!$D$2:$D$294)</f>
        <v>20</v>
      </c>
      <c r="F9" s="3">
        <f>SUMIF('BARANG TERJUAL'!$C$2:$C$974,Katalog[[#This Row],[NAMA BARANG]],'BARANG TERJUAL'!$D$2:$D$974)</f>
        <v>11</v>
      </c>
      <c r="G9" s="3">
        <f>Katalog[[#This Row],[STOK AWAL]]+Katalog[[#This Row],[BARANG MASUK]]-Katalog[[#This Row],[BARANG TERJUAL]]</f>
        <v>16</v>
      </c>
      <c r="H9" s="4">
        <f>Katalog[[#This Row],[HARGA JUAL]]*Katalog[[#This Row],[BARANG TERJUAL]]</f>
        <v>605000</v>
      </c>
    </row>
    <row r="10" spans="2:8" x14ac:dyDescent="0.35">
      <c r="B10" s="2" t="s">
        <v>111</v>
      </c>
      <c r="C10" s="5">
        <v>50000</v>
      </c>
      <c r="D10" s="3">
        <v>10</v>
      </c>
      <c r="E10" s="3">
        <f>SUMIF('BARANG MASUK'!$C$2:$C$294,Katalog[[#This Row],[NAMA BARANG]],'BARANG MASUK'!$D$2:$D$294)</f>
        <v>20</v>
      </c>
      <c r="F10" s="3">
        <f>SUMIF('BARANG TERJUAL'!$C$2:$C$974,Katalog[[#This Row],[NAMA BARANG]],'BARANG TERJUAL'!$D$2:$D$974)</f>
        <v>12</v>
      </c>
      <c r="G10" s="3">
        <f>Katalog[[#This Row],[STOK AWAL]]+Katalog[[#This Row],[BARANG MASUK]]-Katalog[[#This Row],[BARANG TERJUAL]]</f>
        <v>18</v>
      </c>
      <c r="H10" s="4">
        <f>Katalog[[#This Row],[HARGA JUAL]]*Katalog[[#This Row],[BARANG TERJUAL]]</f>
        <v>600000</v>
      </c>
    </row>
    <row r="11" spans="2:8" x14ac:dyDescent="0.35">
      <c r="B11" s="2" t="s">
        <v>91</v>
      </c>
      <c r="C11" s="5">
        <v>55000</v>
      </c>
      <c r="D11" s="3">
        <v>14</v>
      </c>
      <c r="E11" s="3">
        <f>SUMIF('BARANG MASUK'!$C$2:$C$294,Katalog[[#This Row],[NAMA BARANG]],'BARANG MASUK'!$D$2:$D$294)</f>
        <v>30</v>
      </c>
      <c r="F11" s="3">
        <f>SUMIF('BARANG TERJUAL'!$C$2:$C$974,Katalog[[#This Row],[NAMA BARANG]],'BARANG TERJUAL'!$D$2:$D$974)</f>
        <v>7</v>
      </c>
      <c r="G11" s="3">
        <f>Katalog[[#This Row],[STOK AWAL]]+Katalog[[#This Row],[BARANG MASUK]]-Katalog[[#This Row],[BARANG TERJUAL]]</f>
        <v>37</v>
      </c>
      <c r="H11" s="4">
        <f>Katalog[[#This Row],[HARGA JUAL]]*Katalog[[#This Row],[BARANG TERJUAL]]</f>
        <v>385000</v>
      </c>
    </row>
    <row r="12" spans="2:8" x14ac:dyDescent="0.35">
      <c r="B12" s="2" t="s">
        <v>109</v>
      </c>
      <c r="C12" s="5">
        <v>120000</v>
      </c>
      <c r="D12" s="3">
        <v>7</v>
      </c>
      <c r="E12" s="3">
        <f>SUMIF('BARANG MASUK'!$C$2:$C$294,Katalog[[#This Row],[NAMA BARANG]],'BARANG MASUK'!$D$2:$D$294)</f>
        <v>20</v>
      </c>
      <c r="F12" s="3">
        <f>SUMIF('BARANG TERJUAL'!$C$2:$C$974,Katalog[[#This Row],[NAMA BARANG]],'BARANG TERJUAL'!$D$2:$D$974)</f>
        <v>7</v>
      </c>
      <c r="G12" s="3">
        <f>Katalog[[#This Row],[STOK AWAL]]+Katalog[[#This Row],[BARANG MASUK]]-Katalog[[#This Row],[BARANG TERJUAL]]</f>
        <v>20</v>
      </c>
      <c r="H12" s="4">
        <f>Katalog[[#This Row],[HARGA JUAL]]*Katalog[[#This Row],[BARANG TERJUAL]]</f>
        <v>840000</v>
      </c>
    </row>
    <row r="13" spans="2:8" x14ac:dyDescent="0.35">
      <c r="B13" s="2" t="s">
        <v>108</v>
      </c>
      <c r="C13" s="5">
        <v>115000</v>
      </c>
      <c r="D13" s="3">
        <v>5</v>
      </c>
      <c r="E13" s="3">
        <f>SUMIF('BARANG MASUK'!$C$2:$C$294,Katalog[[#This Row],[NAMA BARANG]],'BARANG MASUK'!$D$2:$D$294)</f>
        <v>20</v>
      </c>
      <c r="F13" s="3">
        <f>SUMIF('BARANG TERJUAL'!$C$2:$C$974,Katalog[[#This Row],[NAMA BARANG]],'BARANG TERJUAL'!$D$2:$D$974)</f>
        <v>7</v>
      </c>
      <c r="G13" s="3">
        <f>Katalog[[#This Row],[STOK AWAL]]+Katalog[[#This Row],[BARANG MASUK]]-Katalog[[#This Row],[BARANG TERJUAL]]</f>
        <v>18</v>
      </c>
      <c r="H13" s="4">
        <f>Katalog[[#This Row],[HARGA JUAL]]*Katalog[[#This Row],[BARANG TERJUAL]]</f>
        <v>805000</v>
      </c>
    </row>
    <row r="14" spans="2:8" x14ac:dyDescent="0.35">
      <c r="B14" s="2" t="s">
        <v>64</v>
      </c>
      <c r="C14" s="5">
        <v>12000</v>
      </c>
      <c r="D14" s="3">
        <v>21</v>
      </c>
      <c r="E14" s="3">
        <f>SUMIF('BARANG MASUK'!$C$2:$C$294,Katalog[[#This Row],[NAMA BARANG]],'BARANG MASUK'!$D$2:$D$294)</f>
        <v>30</v>
      </c>
      <c r="F14" s="3">
        <f>SUMIF('BARANG TERJUAL'!$C$2:$C$974,Katalog[[#This Row],[NAMA BARANG]],'BARANG TERJUAL'!$D$2:$D$974)</f>
        <v>12</v>
      </c>
      <c r="G14" s="3">
        <f>Katalog[[#This Row],[STOK AWAL]]+Katalog[[#This Row],[BARANG MASUK]]-Katalog[[#This Row],[BARANG TERJUAL]]</f>
        <v>39</v>
      </c>
      <c r="H14" s="4">
        <f>Katalog[[#This Row],[HARGA JUAL]]*Katalog[[#This Row],[BARANG TERJUAL]]</f>
        <v>144000</v>
      </c>
    </row>
    <row r="15" spans="2:8" x14ac:dyDescent="0.35">
      <c r="B15" s="2" t="s">
        <v>92</v>
      </c>
      <c r="C15" s="5">
        <v>200000</v>
      </c>
      <c r="D15" s="3">
        <v>28</v>
      </c>
      <c r="E15" s="3">
        <f>SUMIF('BARANG MASUK'!$C$2:$C$294,Katalog[[#This Row],[NAMA BARANG]],'BARANG MASUK'!$D$2:$D$294)</f>
        <v>30</v>
      </c>
      <c r="F15" s="3">
        <f>SUMIF('BARANG TERJUAL'!$C$2:$C$974,Katalog[[#This Row],[NAMA BARANG]],'BARANG TERJUAL'!$D$2:$D$974)</f>
        <v>9</v>
      </c>
      <c r="G15" s="3">
        <f>Katalog[[#This Row],[STOK AWAL]]+Katalog[[#This Row],[BARANG MASUK]]-Katalog[[#This Row],[BARANG TERJUAL]]</f>
        <v>49</v>
      </c>
      <c r="H15" s="4">
        <f>Katalog[[#This Row],[HARGA JUAL]]*Katalog[[#This Row],[BARANG TERJUAL]]</f>
        <v>1800000</v>
      </c>
    </row>
    <row r="16" spans="2:8" x14ac:dyDescent="0.35">
      <c r="B16" s="2" t="s">
        <v>99</v>
      </c>
      <c r="C16" s="5">
        <v>45000</v>
      </c>
      <c r="D16" s="3">
        <v>9</v>
      </c>
      <c r="E16" s="3">
        <f>SUMIF('BARANG MASUK'!$C$2:$C$294,Katalog[[#This Row],[NAMA BARANG]],'BARANG MASUK'!$D$2:$D$294)</f>
        <v>30</v>
      </c>
      <c r="F16" s="3">
        <f>SUMIF('BARANG TERJUAL'!$C$2:$C$974,Katalog[[#This Row],[NAMA BARANG]],'BARANG TERJUAL'!$D$2:$D$974)</f>
        <v>5</v>
      </c>
      <c r="G16" s="3">
        <f>Katalog[[#This Row],[STOK AWAL]]+Katalog[[#This Row],[BARANG MASUK]]-Katalog[[#This Row],[BARANG TERJUAL]]</f>
        <v>34</v>
      </c>
      <c r="H16" s="4">
        <f>Katalog[[#This Row],[HARGA JUAL]]*Katalog[[#This Row],[BARANG TERJUAL]]</f>
        <v>225000</v>
      </c>
    </row>
    <row r="17" spans="2:8" x14ac:dyDescent="0.35">
      <c r="B17" s="2" t="s">
        <v>101</v>
      </c>
      <c r="C17" s="5">
        <v>100000</v>
      </c>
      <c r="D17" s="3">
        <v>12</v>
      </c>
      <c r="E17" s="3">
        <f>SUMIF('BARANG MASUK'!$C$2:$C$294,Katalog[[#This Row],[NAMA BARANG]],'BARANG MASUK'!$D$2:$D$294)</f>
        <v>30</v>
      </c>
      <c r="F17" s="3">
        <f>SUMIF('BARANG TERJUAL'!$C$2:$C$974,Katalog[[#This Row],[NAMA BARANG]],'BARANG TERJUAL'!$D$2:$D$974)</f>
        <v>2</v>
      </c>
      <c r="G17" s="3">
        <f>Katalog[[#This Row],[STOK AWAL]]+Katalog[[#This Row],[BARANG MASUK]]-Katalog[[#This Row],[BARANG TERJUAL]]</f>
        <v>40</v>
      </c>
      <c r="H17" s="4">
        <f>Katalog[[#This Row],[HARGA JUAL]]*Katalog[[#This Row],[BARANG TERJUAL]]</f>
        <v>200000</v>
      </c>
    </row>
    <row r="18" spans="2:8" x14ac:dyDescent="0.35">
      <c r="B18" s="2" t="s">
        <v>100</v>
      </c>
      <c r="C18" s="5">
        <v>95000</v>
      </c>
      <c r="D18" s="3">
        <v>6</v>
      </c>
      <c r="E18" s="3">
        <f>SUMIF('BARANG MASUK'!$C$2:$C$294,Katalog[[#This Row],[NAMA BARANG]],'BARANG MASUK'!$D$2:$D$294)</f>
        <v>30</v>
      </c>
      <c r="F18" s="3">
        <f>SUMIF('BARANG TERJUAL'!$C$2:$C$974,Katalog[[#This Row],[NAMA BARANG]],'BARANG TERJUAL'!$D$2:$D$974)</f>
        <v>4</v>
      </c>
      <c r="G18" s="3">
        <f>Katalog[[#This Row],[STOK AWAL]]+Katalog[[#This Row],[BARANG MASUK]]-Katalog[[#This Row],[BARANG TERJUAL]]</f>
        <v>32</v>
      </c>
      <c r="H18" s="4">
        <f>Katalog[[#This Row],[HARGA JUAL]]*Katalog[[#This Row],[BARANG TERJUAL]]</f>
        <v>380000</v>
      </c>
    </row>
    <row r="19" spans="2:8" x14ac:dyDescent="0.35">
      <c r="B19" s="2" t="s">
        <v>103</v>
      </c>
      <c r="C19" s="5">
        <v>40000</v>
      </c>
      <c r="D19" s="3">
        <v>10</v>
      </c>
      <c r="E19" s="3">
        <f>SUMIF('BARANG MASUK'!$C$2:$C$294,Katalog[[#This Row],[NAMA BARANG]],'BARANG MASUK'!$D$2:$D$294)</f>
        <v>30</v>
      </c>
      <c r="F19" s="3">
        <f>SUMIF('BARANG TERJUAL'!$C$2:$C$974,Katalog[[#This Row],[NAMA BARANG]],'BARANG TERJUAL'!$D$2:$D$974)</f>
        <v>1</v>
      </c>
      <c r="G19" s="3">
        <f>Katalog[[#This Row],[STOK AWAL]]+Katalog[[#This Row],[BARANG MASUK]]-Katalog[[#This Row],[BARANG TERJUAL]]</f>
        <v>39</v>
      </c>
      <c r="H19" s="4">
        <f>Katalog[[#This Row],[HARGA JUAL]]*Katalog[[#This Row],[BARANG TERJUAL]]</f>
        <v>40000</v>
      </c>
    </row>
    <row r="20" spans="2:8" x14ac:dyDescent="0.35">
      <c r="B20" s="2" t="s">
        <v>102</v>
      </c>
      <c r="C20" s="5">
        <v>35000</v>
      </c>
      <c r="D20" s="3">
        <v>12</v>
      </c>
      <c r="E20" s="3">
        <f>SUMIF('BARANG MASUK'!$C$2:$C$294,Katalog[[#This Row],[NAMA BARANG]],'BARANG MASUK'!$D$2:$D$294)</f>
        <v>30</v>
      </c>
      <c r="F20" s="3">
        <f>SUMIF('BARANG TERJUAL'!$C$2:$C$974,Katalog[[#This Row],[NAMA BARANG]],'BARANG TERJUAL'!$D$2:$D$974)</f>
        <v>2</v>
      </c>
      <c r="G20" s="3">
        <f>Katalog[[#This Row],[STOK AWAL]]+Katalog[[#This Row],[BARANG MASUK]]-Katalog[[#This Row],[BARANG TERJUAL]]</f>
        <v>40</v>
      </c>
      <c r="H20" s="4">
        <f>Katalog[[#This Row],[HARGA JUAL]]*Katalog[[#This Row],[BARANG TERJUAL]]</f>
        <v>70000</v>
      </c>
    </row>
    <row r="21" spans="2:8" x14ac:dyDescent="0.35">
      <c r="B21" s="2" t="s">
        <v>105</v>
      </c>
      <c r="C21" s="5">
        <v>65000</v>
      </c>
      <c r="D21" s="3">
        <v>12</v>
      </c>
      <c r="E21" s="3">
        <f>SUMIF('BARANG MASUK'!$C$2:$C$294,Katalog[[#This Row],[NAMA BARANG]],'BARANG MASUK'!$D$2:$D$294)</f>
        <v>30</v>
      </c>
      <c r="F21" s="3">
        <f>SUMIF('BARANG TERJUAL'!$C$2:$C$974,Katalog[[#This Row],[NAMA BARANG]],'BARANG TERJUAL'!$D$2:$D$974)</f>
        <v>3</v>
      </c>
      <c r="G21" s="3">
        <f>Katalog[[#This Row],[STOK AWAL]]+Katalog[[#This Row],[BARANG MASUK]]-Katalog[[#This Row],[BARANG TERJUAL]]</f>
        <v>39</v>
      </c>
      <c r="H21" s="4">
        <f>Katalog[[#This Row],[HARGA JUAL]]*Katalog[[#This Row],[BARANG TERJUAL]]</f>
        <v>195000</v>
      </c>
    </row>
    <row r="22" spans="2:8" x14ac:dyDescent="0.35">
      <c r="B22" s="2" t="s">
        <v>104</v>
      </c>
      <c r="C22" s="5">
        <v>60000</v>
      </c>
      <c r="D22" s="3">
        <v>8</v>
      </c>
      <c r="E22" s="3">
        <f>SUMIF('BARANG MASUK'!$C$2:$C$294,Katalog[[#This Row],[NAMA BARANG]],'BARANG MASUK'!$D$2:$D$294)</f>
        <v>30</v>
      </c>
      <c r="F22" s="3">
        <f>SUMIF('BARANG TERJUAL'!$C$2:$C$974,Katalog[[#This Row],[NAMA BARANG]],'BARANG TERJUAL'!$D$2:$D$974)</f>
        <v>6</v>
      </c>
      <c r="G22" s="3">
        <f>Katalog[[#This Row],[STOK AWAL]]+Katalog[[#This Row],[BARANG MASUK]]-Katalog[[#This Row],[BARANG TERJUAL]]</f>
        <v>32</v>
      </c>
      <c r="H22" s="4">
        <f>Katalog[[#This Row],[HARGA JUAL]]*Katalog[[#This Row],[BARANG TERJUAL]]</f>
        <v>360000</v>
      </c>
    </row>
    <row r="23" spans="2:8" x14ac:dyDescent="0.35">
      <c r="B23" s="2" t="s">
        <v>110</v>
      </c>
      <c r="C23" s="5">
        <v>50000</v>
      </c>
      <c r="D23" s="3">
        <v>12</v>
      </c>
      <c r="E23" s="3">
        <f>SUMIF('BARANG MASUK'!$C$2:$C$294,Katalog[[#This Row],[NAMA BARANG]],'BARANG MASUK'!$D$2:$D$294)</f>
        <v>30</v>
      </c>
      <c r="F23" s="3">
        <f>SUMIF('BARANG TERJUAL'!$C$2:$C$974,Katalog[[#This Row],[NAMA BARANG]],'BARANG TERJUAL'!$D$2:$D$974)</f>
        <v>4</v>
      </c>
      <c r="G23" s="3">
        <f>Katalog[[#This Row],[STOK AWAL]]+Katalog[[#This Row],[BARANG MASUK]]-Katalog[[#This Row],[BARANG TERJUAL]]</f>
        <v>38</v>
      </c>
      <c r="H23" s="4">
        <f>Katalog[[#This Row],[HARGA JUAL]]*Katalog[[#This Row],[BARANG TERJUAL]]</f>
        <v>200000</v>
      </c>
    </row>
    <row r="24" spans="2:8" x14ac:dyDescent="0.35">
      <c r="B24" s="2" t="s">
        <v>113</v>
      </c>
      <c r="C24" s="5">
        <v>100000</v>
      </c>
      <c r="D24" s="3">
        <v>18</v>
      </c>
      <c r="E24" s="3">
        <f>SUMIF('BARANG MASUK'!$C$2:$C$294,Katalog[[#This Row],[NAMA BARANG]],'BARANG MASUK'!$D$2:$D$294)</f>
        <v>80</v>
      </c>
      <c r="F24" s="3">
        <f>SUMIF('BARANG TERJUAL'!$C$2:$C$974,Katalog[[#This Row],[NAMA BARANG]],'BARANG TERJUAL'!$D$2:$D$974)</f>
        <v>11</v>
      </c>
      <c r="G24" s="3">
        <f>Katalog[[#This Row],[STOK AWAL]]+Katalog[[#This Row],[BARANG MASUK]]-Katalog[[#This Row],[BARANG TERJUAL]]</f>
        <v>87</v>
      </c>
      <c r="H24" s="4">
        <f>Katalog[[#This Row],[HARGA JUAL]]*Katalog[[#This Row],[BARANG TERJUAL]]</f>
        <v>1100000</v>
      </c>
    </row>
    <row r="25" spans="2:8" x14ac:dyDescent="0.35">
      <c r="B25" s="2" t="s">
        <v>107</v>
      </c>
      <c r="C25" s="5">
        <v>65000</v>
      </c>
      <c r="D25" s="3">
        <v>11</v>
      </c>
      <c r="E25" s="3">
        <f>SUMIF('BARANG MASUK'!$C$2:$C$294,Katalog[[#This Row],[NAMA BARANG]],'BARANG MASUK'!$D$2:$D$294)</f>
        <v>30</v>
      </c>
      <c r="F25" s="3">
        <f>SUMIF('BARANG TERJUAL'!$C$2:$C$974,Katalog[[#This Row],[NAMA BARANG]],'BARANG TERJUAL'!$D$2:$D$974)</f>
        <v>7</v>
      </c>
      <c r="G25" s="3">
        <f>Katalog[[#This Row],[STOK AWAL]]+Katalog[[#This Row],[BARANG MASUK]]-Katalog[[#This Row],[BARANG TERJUAL]]</f>
        <v>34</v>
      </c>
      <c r="H25" s="4">
        <f>Katalog[[#This Row],[HARGA JUAL]]*Katalog[[#This Row],[BARANG TERJUAL]]</f>
        <v>455000</v>
      </c>
    </row>
    <row r="26" spans="2:8" x14ac:dyDescent="0.35">
      <c r="B26" s="2" t="s">
        <v>106</v>
      </c>
      <c r="C26" s="5">
        <v>50000</v>
      </c>
      <c r="D26" s="3">
        <v>12</v>
      </c>
      <c r="E26" s="3">
        <f>SUMIF('BARANG MASUK'!$C$2:$C$294,Katalog[[#This Row],[NAMA BARANG]],'BARANG MASUK'!$D$2:$D$294)</f>
        <v>30</v>
      </c>
      <c r="F26" s="3">
        <f>SUMIF('BARANG TERJUAL'!$C$2:$C$974,Katalog[[#This Row],[NAMA BARANG]],'BARANG TERJUAL'!$D$2:$D$974)</f>
        <v>10</v>
      </c>
      <c r="G26" s="3">
        <f>Katalog[[#This Row],[STOK AWAL]]+Katalog[[#This Row],[BARANG MASUK]]-Katalog[[#This Row],[BARANG TERJUAL]]</f>
        <v>32</v>
      </c>
      <c r="H26" s="4">
        <f>Katalog[[#This Row],[HARGA JUAL]]*Katalog[[#This Row],[BARANG TERJUAL]]</f>
        <v>500000</v>
      </c>
    </row>
    <row r="27" spans="2:8" x14ac:dyDescent="0.35">
      <c r="B27" s="2" t="s">
        <v>46</v>
      </c>
      <c r="C27" s="5">
        <v>30000</v>
      </c>
      <c r="D27" s="3">
        <v>14</v>
      </c>
      <c r="E27" s="3">
        <f>SUMIF('BARANG MASUK'!$C$2:$C$294,Katalog[[#This Row],[NAMA BARANG]],'BARANG MASUK'!$D$2:$D$294)</f>
        <v>50</v>
      </c>
      <c r="F27" s="3">
        <f>SUMIF('BARANG TERJUAL'!$C$2:$C$974,Katalog[[#This Row],[NAMA BARANG]],'BARANG TERJUAL'!$D$2:$D$974)</f>
        <v>8</v>
      </c>
      <c r="G27" s="3">
        <f>Katalog[[#This Row],[STOK AWAL]]+Katalog[[#This Row],[BARANG MASUK]]-Katalog[[#This Row],[BARANG TERJUAL]]</f>
        <v>56</v>
      </c>
      <c r="H27" s="4">
        <f>Katalog[[#This Row],[HARGA JUAL]]*Katalog[[#This Row],[BARANG TERJUAL]]</f>
        <v>240000</v>
      </c>
    </row>
    <row r="28" spans="2:8" x14ac:dyDescent="0.35">
      <c r="B28" s="2" t="s">
        <v>49</v>
      </c>
      <c r="C28" s="5">
        <v>20000</v>
      </c>
      <c r="D28" s="3">
        <v>12</v>
      </c>
      <c r="E28" s="3">
        <f>SUMIF('BARANG MASUK'!$C$2:$C$294,Katalog[[#This Row],[NAMA BARANG]],'BARANG MASUK'!$D$2:$D$294)</f>
        <v>50</v>
      </c>
      <c r="F28" s="3">
        <f>SUMIF('BARANG TERJUAL'!$C$2:$C$974,Katalog[[#This Row],[NAMA BARANG]],'BARANG TERJUAL'!$D$2:$D$974)</f>
        <v>8</v>
      </c>
      <c r="G28" s="3">
        <f>Katalog[[#This Row],[STOK AWAL]]+Katalog[[#This Row],[BARANG MASUK]]-Katalog[[#This Row],[BARANG TERJUAL]]</f>
        <v>54</v>
      </c>
      <c r="H28" s="4">
        <f>Katalog[[#This Row],[HARGA JUAL]]*Katalog[[#This Row],[BARANG TERJUAL]]</f>
        <v>160000</v>
      </c>
    </row>
    <row r="29" spans="2:8" x14ac:dyDescent="0.35">
      <c r="B29" s="2" t="s">
        <v>47</v>
      </c>
      <c r="C29" s="5">
        <v>25000</v>
      </c>
      <c r="D29" s="3">
        <v>21</v>
      </c>
      <c r="E29" s="3">
        <f>SUMIF('BARANG MASUK'!$C$2:$C$294,Katalog[[#This Row],[NAMA BARANG]],'BARANG MASUK'!$D$2:$D$294)</f>
        <v>30</v>
      </c>
      <c r="F29" s="3">
        <f>SUMIF('BARANG TERJUAL'!$C$2:$C$974,Katalog[[#This Row],[NAMA BARANG]],'BARANG TERJUAL'!$D$2:$D$974)</f>
        <v>12</v>
      </c>
      <c r="G29" s="3">
        <f>Katalog[[#This Row],[STOK AWAL]]+Katalog[[#This Row],[BARANG MASUK]]-Katalog[[#This Row],[BARANG TERJUAL]]</f>
        <v>39</v>
      </c>
      <c r="H29" s="4">
        <f>Katalog[[#This Row],[HARGA JUAL]]*Katalog[[#This Row],[BARANG TERJUAL]]</f>
        <v>300000</v>
      </c>
    </row>
    <row r="30" spans="2:8" x14ac:dyDescent="0.35">
      <c r="B30" s="2" t="s">
        <v>48</v>
      </c>
      <c r="C30" s="5">
        <v>25000</v>
      </c>
      <c r="D30" s="3">
        <v>24</v>
      </c>
      <c r="E30" s="3">
        <f>SUMIF('BARANG MASUK'!$C$2:$C$294,Katalog[[#This Row],[NAMA BARANG]],'BARANG MASUK'!$D$2:$D$294)</f>
        <v>30</v>
      </c>
      <c r="F30" s="3">
        <f>SUMIF('BARANG TERJUAL'!$C$2:$C$974,Katalog[[#This Row],[NAMA BARANG]],'BARANG TERJUAL'!$D$2:$D$974)</f>
        <v>8</v>
      </c>
      <c r="G30" s="3">
        <f>Katalog[[#This Row],[STOK AWAL]]+Katalog[[#This Row],[BARANG MASUK]]-Katalog[[#This Row],[BARANG TERJUAL]]</f>
        <v>46</v>
      </c>
      <c r="H30" s="4">
        <f>Katalog[[#This Row],[HARGA JUAL]]*Katalog[[#This Row],[BARANG TERJUAL]]</f>
        <v>200000</v>
      </c>
    </row>
    <row r="31" spans="2:8" x14ac:dyDescent="0.35">
      <c r="B31" s="2" t="s">
        <v>45</v>
      </c>
      <c r="C31" s="5">
        <v>35000</v>
      </c>
      <c r="D31" s="3">
        <v>10</v>
      </c>
      <c r="E31" s="3">
        <f>SUMIF('BARANG MASUK'!$C$2:$C$294,Katalog[[#This Row],[NAMA BARANG]],'BARANG MASUK'!$D$2:$D$294)</f>
        <v>50</v>
      </c>
      <c r="F31" s="3">
        <f>SUMIF('BARANG TERJUAL'!$C$2:$C$974,Katalog[[#This Row],[NAMA BARANG]],'BARANG TERJUAL'!$D$2:$D$974)</f>
        <v>10</v>
      </c>
      <c r="G31" s="3">
        <f>Katalog[[#This Row],[STOK AWAL]]+Katalog[[#This Row],[BARANG MASUK]]-Katalog[[#This Row],[BARANG TERJUAL]]</f>
        <v>50</v>
      </c>
      <c r="H31" s="4">
        <f>Katalog[[#This Row],[HARGA JUAL]]*Katalog[[#This Row],[BARANG TERJUAL]]</f>
        <v>350000</v>
      </c>
    </row>
    <row r="32" spans="2:8" x14ac:dyDescent="0.35">
      <c r="B32" s="9" t="s">
        <v>132</v>
      </c>
      <c r="C32" s="10">
        <v>55000</v>
      </c>
      <c r="D32" s="3">
        <v>14</v>
      </c>
      <c r="E32" s="3">
        <f>SUMIF('BARANG MASUK'!$C$2:$C$294,Katalog[[#This Row],[NAMA BARANG]],'BARANG MASUK'!$D$2:$D$294)</f>
        <v>30</v>
      </c>
      <c r="F32" s="3">
        <f>SUMIF('BARANG TERJUAL'!$C$2:$C$974,Katalog[[#This Row],[NAMA BARANG]],'BARANG TERJUAL'!$D$2:$D$974)</f>
        <v>7</v>
      </c>
      <c r="G32" s="8">
        <f>Katalog[[#This Row],[STOK AWAL]]+Katalog[[#This Row],[BARANG MASUK]]-Katalog[[#This Row],[BARANG TERJUAL]]</f>
        <v>37</v>
      </c>
      <c r="H32" s="4">
        <f>Katalog[[#This Row],[HARGA JUAL]]*Katalog[[#This Row],[BARANG TERJUAL]]</f>
        <v>385000</v>
      </c>
    </row>
    <row r="33" spans="2:8" x14ac:dyDescent="0.35">
      <c r="B33" s="9" t="s">
        <v>133</v>
      </c>
      <c r="C33" s="10">
        <v>6000</v>
      </c>
      <c r="D33" s="3">
        <v>22</v>
      </c>
      <c r="E33" s="3">
        <f>SUMIF('BARANG MASUK'!$C$2:$C$294,Katalog[[#This Row],[NAMA BARANG]],'BARANG MASUK'!$D$2:$D$294)</f>
        <v>0</v>
      </c>
      <c r="F33" s="3">
        <f>SUMIF('BARANG TERJUAL'!$C$2:$C$974,Katalog[[#This Row],[NAMA BARANG]],'BARANG TERJUAL'!$D$2:$D$974)</f>
        <v>19</v>
      </c>
      <c r="G33" s="8">
        <f>Katalog[[#This Row],[STOK AWAL]]+Katalog[[#This Row],[BARANG MASUK]]-Katalog[[#This Row],[BARANG TERJUAL]]</f>
        <v>3</v>
      </c>
      <c r="H33" s="4">
        <f>Katalog[[#This Row],[HARGA JUAL]]*Katalog[[#This Row],[BARANG TERJUAL]]</f>
        <v>114000</v>
      </c>
    </row>
    <row r="34" spans="2:8" x14ac:dyDescent="0.35">
      <c r="B34" s="9" t="s">
        <v>130</v>
      </c>
      <c r="C34" s="10">
        <v>60000</v>
      </c>
      <c r="D34" s="3">
        <v>21</v>
      </c>
      <c r="E34" s="3">
        <f>SUMIF('BARANG MASUK'!$C$2:$C$294,Katalog[[#This Row],[NAMA BARANG]],'BARANG MASUK'!$D$2:$D$294)</f>
        <v>30</v>
      </c>
      <c r="F34" s="3">
        <f>SUMIF('BARANG TERJUAL'!$C$2:$C$974,Katalog[[#This Row],[NAMA BARANG]],'BARANG TERJUAL'!$D$2:$D$974)</f>
        <v>5</v>
      </c>
      <c r="G34" s="8">
        <f>Katalog[[#This Row],[STOK AWAL]]+Katalog[[#This Row],[BARANG MASUK]]-Katalog[[#This Row],[BARANG TERJUAL]]</f>
        <v>46</v>
      </c>
      <c r="H34" s="4">
        <f>Katalog[[#This Row],[HARGA JUAL]]*Katalog[[#This Row],[BARANG TERJUAL]]</f>
        <v>300000</v>
      </c>
    </row>
    <row r="35" spans="2:8" x14ac:dyDescent="0.35">
      <c r="B35" s="9" t="s">
        <v>131</v>
      </c>
      <c r="C35" s="10">
        <v>6500</v>
      </c>
      <c r="D35" s="3">
        <v>28</v>
      </c>
      <c r="E35" s="3">
        <f>SUMIF('BARANG MASUK'!$C$2:$C$294,Katalog[[#This Row],[NAMA BARANG]],'BARANG MASUK'!$D$2:$D$294)</f>
        <v>0</v>
      </c>
      <c r="F35" s="3">
        <f>SUMIF('BARANG TERJUAL'!$C$2:$C$974,Katalog[[#This Row],[NAMA BARANG]],'BARANG TERJUAL'!$D$2:$D$974)</f>
        <v>19</v>
      </c>
      <c r="G35" s="8">
        <f>Katalog[[#This Row],[STOK AWAL]]+Katalog[[#This Row],[BARANG MASUK]]-Katalog[[#This Row],[BARANG TERJUAL]]</f>
        <v>9</v>
      </c>
      <c r="H35" s="4">
        <f>Katalog[[#This Row],[HARGA JUAL]]*Katalog[[#This Row],[BARANG TERJUAL]]</f>
        <v>123500</v>
      </c>
    </row>
    <row r="36" spans="2:8" x14ac:dyDescent="0.35">
      <c r="B36" s="9" t="s">
        <v>126</v>
      </c>
      <c r="C36" s="10">
        <v>45000</v>
      </c>
      <c r="D36" s="3">
        <v>33</v>
      </c>
      <c r="E36" s="3">
        <f>SUMIF('BARANG MASUK'!$C$2:$C$294,Katalog[[#This Row],[NAMA BARANG]],'BARANG MASUK'!$D$2:$D$294)</f>
        <v>30</v>
      </c>
      <c r="F36" s="3">
        <f>SUMIF('BARANG TERJUAL'!$C$2:$C$974,Katalog[[#This Row],[NAMA BARANG]],'BARANG TERJUAL'!$D$2:$D$974)</f>
        <v>5</v>
      </c>
      <c r="G36" s="8">
        <f>Katalog[[#This Row],[STOK AWAL]]+Katalog[[#This Row],[BARANG MASUK]]-Katalog[[#This Row],[BARANG TERJUAL]]</f>
        <v>58</v>
      </c>
      <c r="H36" s="4">
        <f>Katalog[[#This Row],[HARGA JUAL]]*Katalog[[#This Row],[BARANG TERJUAL]]</f>
        <v>225000</v>
      </c>
    </row>
    <row r="37" spans="2:8" x14ac:dyDescent="0.35">
      <c r="B37" s="9" t="s">
        <v>127</v>
      </c>
      <c r="C37" s="10">
        <v>5000</v>
      </c>
      <c r="D37" s="3">
        <v>20</v>
      </c>
      <c r="E37" s="3">
        <f>SUMIF('BARANG MASUK'!$C$2:$C$294,Katalog[[#This Row],[NAMA BARANG]],'BARANG MASUK'!$D$2:$D$294)</f>
        <v>0</v>
      </c>
      <c r="F37" s="3">
        <f>SUMIF('BARANG TERJUAL'!$C$2:$C$974,Katalog[[#This Row],[NAMA BARANG]],'BARANG TERJUAL'!$D$2:$D$974)</f>
        <v>8</v>
      </c>
      <c r="G37" s="8">
        <f>Katalog[[#This Row],[STOK AWAL]]+Katalog[[#This Row],[BARANG MASUK]]-Katalog[[#This Row],[BARANG TERJUAL]]</f>
        <v>12</v>
      </c>
      <c r="H37" s="4">
        <f>Katalog[[#This Row],[HARGA JUAL]]*Katalog[[#This Row],[BARANG TERJUAL]]</f>
        <v>40000</v>
      </c>
    </row>
    <row r="38" spans="2:8" x14ac:dyDescent="0.35">
      <c r="B38" s="9" t="s">
        <v>128</v>
      </c>
      <c r="C38" s="10">
        <v>50000</v>
      </c>
      <c r="D38" s="3">
        <v>13</v>
      </c>
      <c r="E38" s="3">
        <f>SUMIF('BARANG MASUK'!$C$2:$C$294,Katalog[[#This Row],[NAMA BARANG]],'BARANG MASUK'!$D$2:$D$294)</f>
        <v>30</v>
      </c>
      <c r="F38" s="3">
        <f>SUMIF('BARANG TERJUAL'!$C$2:$C$974,Katalog[[#This Row],[NAMA BARANG]],'BARANG TERJUAL'!$D$2:$D$974)</f>
        <v>5</v>
      </c>
      <c r="G38" s="8">
        <f>Katalog[[#This Row],[STOK AWAL]]+Katalog[[#This Row],[BARANG MASUK]]-Katalog[[#This Row],[BARANG TERJUAL]]</f>
        <v>38</v>
      </c>
      <c r="H38" s="4">
        <f>Katalog[[#This Row],[HARGA JUAL]]*Katalog[[#This Row],[BARANG TERJUAL]]</f>
        <v>250000</v>
      </c>
    </row>
    <row r="39" spans="2:8" x14ac:dyDescent="0.35">
      <c r="B39" s="9" t="s">
        <v>129</v>
      </c>
      <c r="C39" s="10">
        <v>6000</v>
      </c>
      <c r="D39" s="3">
        <v>19</v>
      </c>
      <c r="E39" s="3">
        <f>SUMIF('BARANG MASUK'!$C$2:$C$294,Katalog[[#This Row],[NAMA BARANG]],'BARANG MASUK'!$D$2:$D$294)</f>
        <v>0</v>
      </c>
      <c r="F39" s="3">
        <f>SUMIF('BARANG TERJUAL'!$C$2:$C$974,Katalog[[#This Row],[NAMA BARANG]],'BARANG TERJUAL'!$D$2:$D$974)</f>
        <v>18</v>
      </c>
      <c r="G39" s="8">
        <f>Katalog[[#This Row],[STOK AWAL]]+Katalog[[#This Row],[BARANG MASUK]]-Katalog[[#This Row],[BARANG TERJUAL]]</f>
        <v>1</v>
      </c>
      <c r="H39" s="4">
        <f>Katalog[[#This Row],[HARGA JUAL]]*Katalog[[#This Row],[BARANG TERJUAL]]</f>
        <v>108000</v>
      </c>
    </row>
    <row r="40" spans="2:8" x14ac:dyDescent="0.35">
      <c r="B40" s="9" t="s">
        <v>193</v>
      </c>
      <c r="C40" s="10">
        <v>40000</v>
      </c>
      <c r="D40" s="3">
        <v>19</v>
      </c>
      <c r="E40" s="3">
        <f>SUMIF('BARANG MASUK'!$C$2:$C$294,Katalog[[#This Row],[NAMA BARANG]],'BARANG MASUK'!$D$2:$D$294)</f>
        <v>30</v>
      </c>
      <c r="F40" s="3">
        <f>SUMIF('BARANG TERJUAL'!$C$2:$C$974,Katalog[[#This Row],[NAMA BARANG]],'BARANG TERJUAL'!$D$2:$D$974)</f>
        <v>8</v>
      </c>
      <c r="G40" s="8">
        <f>Katalog[[#This Row],[STOK AWAL]]+Katalog[[#This Row],[BARANG MASUK]]-Katalog[[#This Row],[BARANG TERJUAL]]</f>
        <v>41</v>
      </c>
      <c r="H40" s="4">
        <f>Katalog[[#This Row],[HARGA JUAL]]*Katalog[[#This Row],[BARANG TERJUAL]]</f>
        <v>320000</v>
      </c>
    </row>
    <row r="41" spans="2:8" x14ac:dyDescent="0.35">
      <c r="B41" s="9" t="s">
        <v>134</v>
      </c>
      <c r="C41" s="10">
        <v>4500</v>
      </c>
      <c r="D41" s="3">
        <v>11</v>
      </c>
      <c r="E41" s="3">
        <f>SUMIF('BARANG MASUK'!$C$2:$C$294,Katalog[[#This Row],[NAMA BARANG]],'BARANG MASUK'!$D$2:$D$294)</f>
        <v>0</v>
      </c>
      <c r="F41" s="3">
        <f>SUMIF('BARANG TERJUAL'!$C$2:$C$974,Katalog[[#This Row],[NAMA BARANG]],'BARANG TERJUAL'!$D$2:$D$974)</f>
        <v>4</v>
      </c>
      <c r="G41" s="8">
        <f>Katalog[[#This Row],[STOK AWAL]]+Katalog[[#This Row],[BARANG MASUK]]-Katalog[[#This Row],[BARANG TERJUAL]]</f>
        <v>7</v>
      </c>
      <c r="H41" s="4">
        <f>Katalog[[#This Row],[HARGA JUAL]]*Katalog[[#This Row],[BARANG TERJUAL]]</f>
        <v>18000</v>
      </c>
    </row>
    <row r="42" spans="2:8" x14ac:dyDescent="0.35">
      <c r="B42" s="9" t="s">
        <v>135</v>
      </c>
      <c r="C42" s="10">
        <v>45000</v>
      </c>
      <c r="D42" s="3">
        <v>10</v>
      </c>
      <c r="E42" s="3">
        <f>SUMIF('BARANG MASUK'!$C$2:$C$294,Katalog[[#This Row],[NAMA BARANG]],'BARANG MASUK'!$D$2:$D$294)</f>
        <v>30</v>
      </c>
      <c r="F42" s="3">
        <f>SUMIF('BARANG TERJUAL'!$C$2:$C$974,Katalog[[#This Row],[NAMA BARANG]],'BARANG TERJUAL'!$D$2:$D$974)</f>
        <v>4</v>
      </c>
      <c r="G42" s="8">
        <f>Katalog[[#This Row],[STOK AWAL]]+Katalog[[#This Row],[BARANG MASUK]]-Katalog[[#This Row],[BARANG TERJUAL]]</f>
        <v>36</v>
      </c>
      <c r="H42" s="4">
        <f>Katalog[[#This Row],[HARGA JUAL]]*Katalog[[#This Row],[BARANG TERJUAL]]</f>
        <v>180000</v>
      </c>
    </row>
    <row r="43" spans="2:8" x14ac:dyDescent="0.35">
      <c r="B43" s="9" t="s">
        <v>136</v>
      </c>
      <c r="C43" s="10">
        <v>5000</v>
      </c>
      <c r="D43" s="3">
        <v>155</v>
      </c>
      <c r="E43" s="3">
        <f>SUMIF('BARANG MASUK'!$C$2:$C$294,Katalog[[#This Row],[NAMA BARANG]],'BARANG MASUK'!$D$2:$D$294)</f>
        <v>0</v>
      </c>
      <c r="F43" s="3">
        <f>SUMIF('BARANG TERJUAL'!$C$2:$C$974,Katalog[[#This Row],[NAMA BARANG]],'BARANG TERJUAL'!$D$2:$D$974)</f>
        <v>15</v>
      </c>
      <c r="G43" s="8">
        <f>Katalog[[#This Row],[STOK AWAL]]+Katalog[[#This Row],[BARANG MASUK]]-Katalog[[#This Row],[BARANG TERJUAL]]</f>
        <v>140</v>
      </c>
      <c r="H43" s="4">
        <f>Katalog[[#This Row],[HARGA JUAL]]*Katalog[[#This Row],[BARANG TERJUAL]]</f>
        <v>75000</v>
      </c>
    </row>
    <row r="44" spans="2:8" x14ac:dyDescent="0.35">
      <c r="B44" s="2" t="s">
        <v>15</v>
      </c>
      <c r="C44" s="5">
        <v>90000</v>
      </c>
      <c r="D44" s="3">
        <v>20</v>
      </c>
      <c r="E44" s="3">
        <f>SUMIF('BARANG MASUK'!$C$2:$C$294,Katalog[[#This Row],[NAMA BARANG]],'BARANG MASUK'!$D$2:$D$294)</f>
        <v>20</v>
      </c>
      <c r="F44" s="3">
        <f>SUMIF('BARANG TERJUAL'!$C$2:$C$974,Katalog[[#This Row],[NAMA BARANG]],'BARANG TERJUAL'!$D$2:$D$974)</f>
        <v>6</v>
      </c>
      <c r="G44" s="3">
        <f>Katalog[[#This Row],[STOK AWAL]]+Katalog[[#This Row],[BARANG MASUK]]-Katalog[[#This Row],[BARANG TERJUAL]]</f>
        <v>34</v>
      </c>
      <c r="H44" s="4">
        <f>Katalog[[#This Row],[HARGA JUAL]]*Katalog[[#This Row],[BARANG TERJUAL]]</f>
        <v>540000</v>
      </c>
    </row>
    <row r="45" spans="2:8" x14ac:dyDescent="0.35">
      <c r="B45" s="2" t="s">
        <v>12</v>
      </c>
      <c r="C45" s="5">
        <v>120000</v>
      </c>
      <c r="D45" s="3">
        <v>20</v>
      </c>
      <c r="E45" s="3">
        <f>SUMIF('BARANG MASUK'!$C$2:$C$294,Katalog[[#This Row],[NAMA BARANG]],'BARANG MASUK'!$D$2:$D$294)</f>
        <v>25</v>
      </c>
      <c r="F45" s="3">
        <f>SUMIF('BARANG TERJUAL'!$C$2:$C$974,Katalog[[#This Row],[NAMA BARANG]],'BARANG TERJUAL'!$D$2:$D$974)</f>
        <v>4</v>
      </c>
      <c r="G45" s="3">
        <f>Katalog[[#This Row],[STOK AWAL]]+Katalog[[#This Row],[BARANG MASUK]]-Katalog[[#This Row],[BARANG TERJUAL]]</f>
        <v>41</v>
      </c>
      <c r="H45" s="4">
        <f>Katalog[[#This Row],[HARGA JUAL]]*Katalog[[#This Row],[BARANG TERJUAL]]</f>
        <v>480000</v>
      </c>
    </row>
    <row r="46" spans="2:8" x14ac:dyDescent="0.35">
      <c r="B46" s="1" t="s">
        <v>11</v>
      </c>
      <c r="C46" s="5">
        <v>75000</v>
      </c>
      <c r="D46" s="3">
        <v>34</v>
      </c>
      <c r="E46" s="3">
        <f>SUMIF('BARANG MASUK'!$C$2:$C$294,Katalog[[#This Row],[NAMA BARANG]],'BARANG MASUK'!$D$2:$D$294)</f>
        <v>25</v>
      </c>
      <c r="F46" s="3">
        <f>SUMIF('BARANG TERJUAL'!$C$2:$C$974,Katalog[[#This Row],[NAMA BARANG]],'BARANG TERJUAL'!$D$2:$D$974)</f>
        <v>5</v>
      </c>
      <c r="G46" s="3">
        <f>Katalog[[#This Row],[STOK AWAL]]+Katalog[[#This Row],[BARANG MASUK]]-Katalog[[#This Row],[BARANG TERJUAL]]</f>
        <v>54</v>
      </c>
      <c r="H46" s="4">
        <f>Katalog[[#This Row],[HARGA JUAL]]*Katalog[[#This Row],[BARANG TERJUAL]]</f>
        <v>375000</v>
      </c>
    </row>
    <row r="47" spans="2:8" x14ac:dyDescent="0.35">
      <c r="B47" s="1" t="s">
        <v>9</v>
      </c>
      <c r="C47" s="5">
        <v>85000</v>
      </c>
      <c r="D47" s="3">
        <v>28</v>
      </c>
      <c r="E47" s="3">
        <f>SUMIF('BARANG MASUK'!$C$2:$C$294,Katalog[[#This Row],[NAMA BARANG]],'BARANG MASUK'!$D$2:$D$294)</f>
        <v>40</v>
      </c>
      <c r="F47" s="3">
        <f>SUMIF('BARANG TERJUAL'!$C$2:$C$974,Katalog[[#This Row],[NAMA BARANG]],'BARANG TERJUAL'!$D$2:$D$974)</f>
        <v>5</v>
      </c>
      <c r="G47" s="3">
        <f>Katalog[[#This Row],[STOK AWAL]]+Katalog[[#This Row],[BARANG MASUK]]-Katalog[[#This Row],[BARANG TERJUAL]]</f>
        <v>63</v>
      </c>
      <c r="H47" s="4">
        <f>Katalog[[#This Row],[HARGA JUAL]]*Katalog[[#This Row],[BARANG TERJUAL]]</f>
        <v>425000</v>
      </c>
    </row>
    <row r="48" spans="2:8" x14ac:dyDescent="0.35">
      <c r="B48" s="2" t="s">
        <v>14</v>
      </c>
      <c r="C48" s="5">
        <v>120000</v>
      </c>
      <c r="D48" s="3">
        <v>15</v>
      </c>
      <c r="E48" s="3">
        <f>SUMIF('BARANG MASUK'!$C$2:$C$294,Katalog[[#This Row],[NAMA BARANG]],'BARANG MASUK'!$D$2:$D$294)</f>
        <v>30</v>
      </c>
      <c r="F48" s="3">
        <f>SUMIF('BARANG TERJUAL'!$C$2:$C$974,Katalog[[#This Row],[NAMA BARANG]],'BARANG TERJUAL'!$D$2:$D$974)</f>
        <v>7</v>
      </c>
      <c r="G48" s="3">
        <f>Katalog[[#This Row],[STOK AWAL]]+Katalog[[#This Row],[BARANG MASUK]]-Katalog[[#This Row],[BARANG TERJUAL]]</f>
        <v>38</v>
      </c>
      <c r="H48" s="4">
        <f>Katalog[[#This Row],[HARGA JUAL]]*Katalog[[#This Row],[BARANG TERJUAL]]</f>
        <v>840000</v>
      </c>
    </row>
    <row r="49" spans="2:8" x14ac:dyDescent="0.35">
      <c r="B49" s="2" t="s">
        <v>13</v>
      </c>
      <c r="C49" s="5">
        <v>120000</v>
      </c>
      <c r="D49" s="3">
        <v>21</v>
      </c>
      <c r="E49" s="3">
        <f>SUMIF('BARANG MASUK'!$C$2:$C$294,Katalog[[#This Row],[NAMA BARANG]],'BARANG MASUK'!$D$2:$D$294)</f>
        <v>15</v>
      </c>
      <c r="F49" s="3">
        <f>SUMIF('BARANG TERJUAL'!$C$2:$C$974,Katalog[[#This Row],[NAMA BARANG]],'BARANG TERJUAL'!$D$2:$D$974)</f>
        <v>4</v>
      </c>
      <c r="G49" s="3">
        <f>Katalog[[#This Row],[STOK AWAL]]+Katalog[[#This Row],[BARANG MASUK]]-Katalog[[#This Row],[BARANG TERJUAL]]</f>
        <v>32</v>
      </c>
      <c r="H49" s="4">
        <f>Katalog[[#This Row],[HARGA JUAL]]*Katalog[[#This Row],[BARANG TERJUAL]]</f>
        <v>480000</v>
      </c>
    </row>
    <row r="50" spans="2:8" x14ac:dyDescent="0.35">
      <c r="B50" s="1" t="s">
        <v>10</v>
      </c>
      <c r="C50" s="5">
        <v>80000</v>
      </c>
      <c r="D50" s="3">
        <v>32</v>
      </c>
      <c r="E50" s="3">
        <f>SUMIF('BARANG MASUK'!$C$2:$C$294,Katalog[[#This Row],[NAMA BARANG]],'BARANG MASUK'!$D$2:$D$294)</f>
        <v>20</v>
      </c>
      <c r="F50" s="3">
        <f>SUMIF('BARANG TERJUAL'!$C$2:$C$974,Katalog[[#This Row],[NAMA BARANG]],'BARANG TERJUAL'!$D$2:$D$974)</f>
        <v>9</v>
      </c>
      <c r="G50" s="3">
        <f>Katalog[[#This Row],[STOK AWAL]]+Katalog[[#This Row],[BARANG MASUK]]-Katalog[[#This Row],[BARANG TERJUAL]]</f>
        <v>43</v>
      </c>
      <c r="H50" s="4">
        <f>Katalog[[#This Row],[HARGA JUAL]]*Katalog[[#This Row],[BARANG TERJUAL]]</f>
        <v>720000</v>
      </c>
    </row>
    <row r="51" spans="2:8" x14ac:dyDescent="0.35">
      <c r="B51" s="9" t="s">
        <v>170</v>
      </c>
      <c r="C51" s="10">
        <v>10000</v>
      </c>
      <c r="D51" s="3">
        <v>33</v>
      </c>
      <c r="E51" s="3">
        <f>SUMIF('BARANG MASUK'!$C$2:$C$294,Katalog[[#This Row],[NAMA BARANG]],'BARANG MASUK'!$D$2:$D$294)</f>
        <v>50</v>
      </c>
      <c r="F51" s="3">
        <f>SUMIF('BARANG TERJUAL'!$C$2:$C$974,Katalog[[#This Row],[NAMA BARANG]],'BARANG TERJUAL'!$D$2:$D$974)</f>
        <v>5</v>
      </c>
      <c r="G51" s="8">
        <f>Katalog[[#This Row],[STOK AWAL]]+Katalog[[#This Row],[BARANG MASUK]]-Katalog[[#This Row],[BARANG TERJUAL]]</f>
        <v>78</v>
      </c>
      <c r="H51" s="4">
        <f>Katalog[[#This Row],[HARGA JUAL]]*Katalog[[#This Row],[BARANG TERJUAL]]</f>
        <v>50000</v>
      </c>
    </row>
    <row r="52" spans="2:8" x14ac:dyDescent="0.35">
      <c r="B52" s="9" t="s">
        <v>171</v>
      </c>
      <c r="C52" s="10">
        <v>5000</v>
      </c>
      <c r="D52" s="3">
        <v>21</v>
      </c>
      <c r="E52" s="3">
        <f>SUMIF('BARANG MASUK'!$C$2:$C$294,Katalog[[#This Row],[NAMA BARANG]],'BARANG MASUK'!$D$2:$D$294)</f>
        <v>50</v>
      </c>
      <c r="F52" s="3">
        <f>SUMIF('BARANG TERJUAL'!$C$2:$C$974,Katalog[[#This Row],[NAMA BARANG]],'BARANG TERJUAL'!$D$2:$D$974)</f>
        <v>8</v>
      </c>
      <c r="G52" s="8">
        <f>Katalog[[#This Row],[STOK AWAL]]+Katalog[[#This Row],[BARANG MASUK]]-Katalog[[#This Row],[BARANG TERJUAL]]</f>
        <v>63</v>
      </c>
      <c r="H52" s="4">
        <f>Katalog[[#This Row],[HARGA JUAL]]*Katalog[[#This Row],[BARANG TERJUAL]]</f>
        <v>40000</v>
      </c>
    </row>
    <row r="53" spans="2:8" x14ac:dyDescent="0.35">
      <c r="B53" s="9" t="s">
        <v>174</v>
      </c>
      <c r="C53" s="10">
        <v>10000</v>
      </c>
      <c r="D53" s="3">
        <v>34</v>
      </c>
      <c r="E53" s="3">
        <f>SUMIF('BARANG MASUK'!$C$2:$C$294,Katalog[[#This Row],[NAMA BARANG]],'BARANG MASUK'!$D$2:$D$294)</f>
        <v>120</v>
      </c>
      <c r="F53" s="3">
        <f>SUMIF('BARANG TERJUAL'!$C$2:$C$974,Katalog[[#This Row],[NAMA BARANG]],'BARANG TERJUAL'!$D$2:$D$974)</f>
        <v>8</v>
      </c>
      <c r="G53" s="8">
        <f>Katalog[[#This Row],[STOK AWAL]]+Katalog[[#This Row],[BARANG MASUK]]-Katalog[[#This Row],[BARANG TERJUAL]]</f>
        <v>146</v>
      </c>
      <c r="H53" s="4">
        <f>Katalog[[#This Row],[HARGA JUAL]]*Katalog[[#This Row],[BARANG TERJUAL]]</f>
        <v>80000</v>
      </c>
    </row>
    <row r="54" spans="2:8" x14ac:dyDescent="0.35">
      <c r="B54" s="9" t="s">
        <v>173</v>
      </c>
      <c r="C54" s="10">
        <v>15000</v>
      </c>
      <c r="D54" s="3">
        <v>45</v>
      </c>
      <c r="E54" s="3">
        <f>SUMIF('BARANG MASUK'!$C$2:$C$294,Katalog[[#This Row],[NAMA BARANG]],'BARANG MASUK'!$D$2:$D$294)</f>
        <v>120</v>
      </c>
      <c r="F54" s="3">
        <f>SUMIF('BARANG TERJUAL'!$C$2:$C$974,Katalog[[#This Row],[NAMA BARANG]],'BARANG TERJUAL'!$D$2:$D$974)</f>
        <v>6</v>
      </c>
      <c r="G54" s="8">
        <f>Katalog[[#This Row],[STOK AWAL]]+Katalog[[#This Row],[BARANG MASUK]]-Katalog[[#This Row],[BARANG TERJUAL]]</f>
        <v>159</v>
      </c>
      <c r="H54" s="4">
        <f>Katalog[[#This Row],[HARGA JUAL]]*Katalog[[#This Row],[BARANG TERJUAL]]</f>
        <v>90000</v>
      </c>
    </row>
    <row r="55" spans="2:8" x14ac:dyDescent="0.35">
      <c r="B55" s="9" t="s">
        <v>172</v>
      </c>
      <c r="C55" s="10">
        <v>1500</v>
      </c>
      <c r="D55" s="3">
        <v>25</v>
      </c>
      <c r="E55" s="3">
        <f>SUMIF('BARANG MASUK'!$C$2:$C$294,Katalog[[#This Row],[NAMA BARANG]],'BARANG MASUK'!$D$2:$D$294)</f>
        <v>50</v>
      </c>
      <c r="F55" s="3">
        <f>SUMIF('BARANG TERJUAL'!$C$2:$C$974,Katalog[[#This Row],[NAMA BARANG]],'BARANG TERJUAL'!$D$2:$D$974)</f>
        <v>15</v>
      </c>
      <c r="G55" s="8">
        <f>Katalog[[#This Row],[STOK AWAL]]+Katalog[[#This Row],[BARANG MASUK]]-Katalog[[#This Row],[BARANG TERJUAL]]</f>
        <v>60</v>
      </c>
      <c r="H55" s="4">
        <f>Katalog[[#This Row],[HARGA JUAL]]*Katalog[[#This Row],[BARANG TERJUAL]]</f>
        <v>22500</v>
      </c>
    </row>
    <row r="56" spans="2:8" x14ac:dyDescent="0.35">
      <c r="B56" s="2" t="s">
        <v>62</v>
      </c>
      <c r="C56" s="5">
        <v>20000</v>
      </c>
      <c r="D56" s="3">
        <v>34</v>
      </c>
      <c r="E56" s="3">
        <f>SUMIF('BARANG MASUK'!$C$2:$C$294,Katalog[[#This Row],[NAMA BARANG]],'BARANG MASUK'!$D$2:$D$294)</f>
        <v>20</v>
      </c>
      <c r="F56" s="3">
        <f>SUMIF('BARANG TERJUAL'!$C$2:$C$974,Katalog[[#This Row],[NAMA BARANG]],'BARANG TERJUAL'!$D$2:$D$974)</f>
        <v>8</v>
      </c>
      <c r="G56" s="3">
        <f>Katalog[[#This Row],[STOK AWAL]]+Katalog[[#This Row],[BARANG MASUK]]-Katalog[[#This Row],[BARANG TERJUAL]]</f>
        <v>46</v>
      </c>
      <c r="H56" s="4">
        <f>Katalog[[#This Row],[HARGA JUAL]]*Katalog[[#This Row],[BARANG TERJUAL]]</f>
        <v>160000</v>
      </c>
    </row>
    <row r="57" spans="2:8" x14ac:dyDescent="0.35">
      <c r="B57" s="2" t="s">
        <v>61</v>
      </c>
      <c r="C57" s="5">
        <v>6000</v>
      </c>
      <c r="D57" s="3">
        <v>25</v>
      </c>
      <c r="E57" s="3">
        <f>SUMIF('BARANG MASUK'!$C$2:$C$294,Katalog[[#This Row],[NAMA BARANG]],'BARANG MASUK'!$D$2:$D$294)</f>
        <v>20</v>
      </c>
      <c r="F57" s="3">
        <f>SUMIF('BARANG TERJUAL'!$C$2:$C$974,Katalog[[#This Row],[NAMA BARANG]],'BARANG TERJUAL'!$D$2:$D$974)</f>
        <v>14</v>
      </c>
      <c r="G57" s="3">
        <f>Katalog[[#This Row],[STOK AWAL]]+Katalog[[#This Row],[BARANG MASUK]]-Katalog[[#This Row],[BARANG TERJUAL]]</f>
        <v>31</v>
      </c>
      <c r="H57" s="4">
        <f>Katalog[[#This Row],[HARGA JUAL]]*Katalog[[#This Row],[BARANG TERJUAL]]</f>
        <v>84000</v>
      </c>
    </row>
    <row r="58" spans="2:8" x14ac:dyDescent="0.35">
      <c r="B58" s="2" t="s">
        <v>63</v>
      </c>
      <c r="C58" s="5">
        <v>50000</v>
      </c>
      <c r="D58" s="3">
        <v>38</v>
      </c>
      <c r="E58" s="3">
        <f>SUMIF('BARANG MASUK'!$C$2:$C$294,Katalog[[#This Row],[NAMA BARANG]],'BARANG MASUK'!$D$2:$D$294)</f>
        <v>20</v>
      </c>
      <c r="F58" s="3">
        <f>SUMIF('BARANG TERJUAL'!$C$2:$C$974,Katalog[[#This Row],[NAMA BARANG]],'BARANG TERJUAL'!$D$2:$D$974)</f>
        <v>8</v>
      </c>
      <c r="G58" s="3">
        <f>Katalog[[#This Row],[STOK AWAL]]+Katalog[[#This Row],[BARANG MASUK]]-Katalog[[#This Row],[BARANG TERJUAL]]</f>
        <v>50</v>
      </c>
      <c r="H58" s="4">
        <f>Katalog[[#This Row],[HARGA JUAL]]*Katalog[[#This Row],[BARANG TERJUAL]]</f>
        <v>400000</v>
      </c>
    </row>
    <row r="59" spans="2:8" x14ac:dyDescent="0.35">
      <c r="B59" s="9" t="s">
        <v>209</v>
      </c>
      <c r="C59" s="10">
        <v>18000</v>
      </c>
      <c r="D59" s="3">
        <v>18</v>
      </c>
      <c r="E59" s="3">
        <f>SUMIF('BARANG MASUK'!$C$2:$C$294,Katalog[[#This Row],[NAMA BARANG]],'BARANG MASUK'!$D$2:$D$294)</f>
        <v>180</v>
      </c>
      <c r="F59" s="3">
        <f>SUMIF('BARANG TERJUAL'!$C$2:$C$974,Katalog[[#This Row],[NAMA BARANG]],'BARANG TERJUAL'!$D$2:$D$974)</f>
        <v>7</v>
      </c>
      <c r="G59" s="8">
        <f>Katalog[[#This Row],[STOK AWAL]]+Katalog[[#This Row],[BARANG MASUK]]-Katalog[[#This Row],[BARANG TERJUAL]]</f>
        <v>191</v>
      </c>
      <c r="H59" s="4">
        <f>Katalog[[#This Row],[HARGA JUAL]]*Katalog[[#This Row],[BARANG TERJUAL]]</f>
        <v>126000</v>
      </c>
    </row>
    <row r="60" spans="2:8" x14ac:dyDescent="0.35">
      <c r="B60" s="9" t="s">
        <v>206</v>
      </c>
      <c r="C60" s="10">
        <v>5000</v>
      </c>
      <c r="D60" s="3">
        <v>10</v>
      </c>
      <c r="E60" s="3">
        <f>SUMIF('BARANG MASUK'!$C$2:$C$294,Katalog[[#This Row],[NAMA BARANG]],'BARANG MASUK'!$D$2:$D$294)</f>
        <v>240</v>
      </c>
      <c r="F60" s="3">
        <f>SUMIF('BARANG TERJUAL'!$C$2:$C$974,Katalog[[#This Row],[NAMA BARANG]],'BARANG TERJUAL'!$D$2:$D$974)</f>
        <v>25</v>
      </c>
      <c r="G60" s="8">
        <f>Katalog[[#This Row],[STOK AWAL]]+Katalog[[#This Row],[BARANG MASUK]]-Katalog[[#This Row],[BARANG TERJUAL]]</f>
        <v>225</v>
      </c>
      <c r="H60" s="4">
        <f>Katalog[[#This Row],[HARGA JUAL]]*Katalog[[#This Row],[BARANG TERJUAL]]</f>
        <v>125000</v>
      </c>
    </row>
    <row r="61" spans="2:8" x14ac:dyDescent="0.35">
      <c r="B61" s="9" t="s">
        <v>207</v>
      </c>
      <c r="C61" s="10">
        <v>7000</v>
      </c>
      <c r="D61" s="3">
        <v>31</v>
      </c>
      <c r="E61" s="3">
        <f>SUMIF('BARANG MASUK'!$C$2:$C$294,Katalog[[#This Row],[NAMA BARANG]],'BARANG MASUK'!$D$2:$D$294)</f>
        <v>240</v>
      </c>
      <c r="F61" s="3">
        <f>SUMIF('BARANG TERJUAL'!$C$2:$C$974,Katalog[[#This Row],[NAMA BARANG]],'BARANG TERJUAL'!$D$2:$D$974)</f>
        <v>12</v>
      </c>
      <c r="G61" s="8">
        <f>Katalog[[#This Row],[STOK AWAL]]+Katalog[[#This Row],[BARANG MASUK]]-Katalog[[#This Row],[BARANG TERJUAL]]</f>
        <v>259</v>
      </c>
      <c r="H61" s="4">
        <f>Katalog[[#This Row],[HARGA JUAL]]*Katalog[[#This Row],[BARANG TERJUAL]]</f>
        <v>84000</v>
      </c>
    </row>
    <row r="62" spans="2:8" x14ac:dyDescent="0.35">
      <c r="B62" s="9" t="s">
        <v>208</v>
      </c>
      <c r="C62" s="10">
        <v>15000</v>
      </c>
      <c r="D62" s="3">
        <v>22</v>
      </c>
      <c r="E62" s="3">
        <f>SUMIF('BARANG MASUK'!$C$2:$C$294,Katalog[[#This Row],[NAMA BARANG]],'BARANG MASUK'!$D$2:$D$294)</f>
        <v>60</v>
      </c>
      <c r="F62" s="3">
        <f>SUMIF('BARANG TERJUAL'!$C$2:$C$974,Katalog[[#This Row],[NAMA BARANG]],'BARANG TERJUAL'!$D$2:$D$974)</f>
        <v>8</v>
      </c>
      <c r="G62" s="8">
        <f>Katalog[[#This Row],[STOK AWAL]]+Katalog[[#This Row],[BARANG MASUK]]-Katalog[[#This Row],[BARANG TERJUAL]]</f>
        <v>74</v>
      </c>
      <c r="H62" s="4">
        <f>Katalog[[#This Row],[HARGA JUAL]]*Katalog[[#This Row],[BARANG TERJUAL]]</f>
        <v>120000</v>
      </c>
    </row>
    <row r="63" spans="2:8" x14ac:dyDescent="0.35">
      <c r="B63" s="9" t="s">
        <v>215</v>
      </c>
      <c r="C63" s="10">
        <v>5000</v>
      </c>
      <c r="D63" s="3">
        <v>28</v>
      </c>
      <c r="E63" s="3">
        <f>SUMIF('BARANG MASUK'!$C$2:$C$294,Katalog[[#This Row],[NAMA BARANG]],'BARANG MASUK'!$D$2:$D$294)</f>
        <v>60</v>
      </c>
      <c r="F63" s="3">
        <f>SUMIF('BARANG TERJUAL'!$C$2:$C$974,Katalog[[#This Row],[NAMA BARANG]],'BARANG TERJUAL'!$D$2:$D$974)</f>
        <v>12</v>
      </c>
      <c r="G63" s="8">
        <f>Katalog[[#This Row],[STOK AWAL]]+Katalog[[#This Row],[BARANG MASUK]]-Katalog[[#This Row],[BARANG TERJUAL]]</f>
        <v>76</v>
      </c>
      <c r="H63" s="4">
        <f>Katalog[[#This Row],[HARGA JUAL]]*Katalog[[#This Row],[BARANG TERJUAL]]</f>
        <v>60000</v>
      </c>
    </row>
    <row r="64" spans="2:8" x14ac:dyDescent="0.35">
      <c r="B64" s="9" t="s">
        <v>213</v>
      </c>
      <c r="C64" s="10">
        <v>7000</v>
      </c>
      <c r="D64" s="3">
        <v>24</v>
      </c>
      <c r="E64" s="3">
        <f>SUMIF('BARANG MASUK'!$C$2:$C$294,Katalog[[#This Row],[NAMA BARANG]],'BARANG MASUK'!$D$2:$D$294)</f>
        <v>60</v>
      </c>
      <c r="F64" s="3">
        <f>SUMIF('BARANG TERJUAL'!$C$2:$C$974,Katalog[[#This Row],[NAMA BARANG]],'BARANG TERJUAL'!$D$2:$D$974)</f>
        <v>7</v>
      </c>
      <c r="G64" s="8">
        <f>Katalog[[#This Row],[STOK AWAL]]+Katalog[[#This Row],[BARANG MASUK]]-Katalog[[#This Row],[BARANG TERJUAL]]</f>
        <v>77</v>
      </c>
      <c r="H64" s="4">
        <f>Katalog[[#This Row],[HARGA JUAL]]*Katalog[[#This Row],[BARANG TERJUAL]]</f>
        <v>49000</v>
      </c>
    </row>
    <row r="65" spans="2:8" x14ac:dyDescent="0.35">
      <c r="B65" s="9" t="s">
        <v>214</v>
      </c>
      <c r="C65" s="10">
        <v>15000</v>
      </c>
      <c r="D65" s="3">
        <v>41</v>
      </c>
      <c r="E65" s="3">
        <f>SUMIF('BARANG MASUK'!$C$2:$C$294,Katalog[[#This Row],[NAMA BARANG]],'BARANG MASUK'!$D$2:$D$294)</f>
        <v>60</v>
      </c>
      <c r="F65" s="3">
        <f>SUMIF('BARANG TERJUAL'!$C$2:$C$974,Katalog[[#This Row],[NAMA BARANG]],'BARANG TERJUAL'!$D$2:$D$974)</f>
        <v>16</v>
      </c>
      <c r="G65" s="8">
        <f>Katalog[[#This Row],[STOK AWAL]]+Katalog[[#This Row],[BARANG MASUK]]-Katalog[[#This Row],[BARANG TERJUAL]]</f>
        <v>85</v>
      </c>
      <c r="H65" s="4">
        <f>Katalog[[#This Row],[HARGA JUAL]]*Katalog[[#This Row],[BARANG TERJUAL]]</f>
        <v>240000</v>
      </c>
    </row>
    <row r="66" spans="2:8" x14ac:dyDescent="0.35">
      <c r="B66" s="9" t="s">
        <v>150</v>
      </c>
      <c r="C66" s="10">
        <v>12000</v>
      </c>
      <c r="D66" s="3">
        <v>26</v>
      </c>
      <c r="E66" s="3">
        <f>SUMIF('BARANG MASUK'!$C$2:$C$294,Katalog[[#This Row],[NAMA BARANG]],'BARANG MASUK'!$D$2:$D$294)</f>
        <v>0</v>
      </c>
      <c r="F66" s="3">
        <f>SUMIF('BARANG TERJUAL'!$C$2:$C$974,Katalog[[#This Row],[NAMA BARANG]],'BARANG TERJUAL'!$D$2:$D$974)</f>
        <v>5</v>
      </c>
      <c r="G66" s="8">
        <f>Katalog[[#This Row],[STOK AWAL]]+Katalog[[#This Row],[BARANG MASUK]]-Katalog[[#This Row],[BARANG TERJUAL]]</f>
        <v>21</v>
      </c>
      <c r="H66" s="4">
        <f>Katalog[[#This Row],[HARGA JUAL]]*Katalog[[#This Row],[BARANG TERJUAL]]</f>
        <v>60000</v>
      </c>
    </row>
    <row r="67" spans="2:8" x14ac:dyDescent="0.35">
      <c r="B67" s="2" t="s">
        <v>55</v>
      </c>
      <c r="C67" s="5">
        <v>5000</v>
      </c>
      <c r="D67" s="3">
        <v>14</v>
      </c>
      <c r="E67" s="3">
        <f>SUMIF('BARANG MASUK'!$C$2:$C$294,Katalog[[#This Row],[NAMA BARANG]],'BARANG MASUK'!$D$2:$D$294)</f>
        <v>30</v>
      </c>
      <c r="F67" s="3">
        <f>SUMIF('BARANG TERJUAL'!$C$2:$C$974,Katalog[[#This Row],[NAMA BARANG]],'BARANG TERJUAL'!$D$2:$D$974)</f>
        <v>10</v>
      </c>
      <c r="G67" s="3">
        <f>Katalog[[#This Row],[STOK AWAL]]+Katalog[[#This Row],[BARANG MASUK]]-Katalog[[#This Row],[BARANG TERJUAL]]</f>
        <v>34</v>
      </c>
      <c r="H67" s="4">
        <f>Katalog[[#This Row],[HARGA JUAL]]*Katalog[[#This Row],[BARANG TERJUAL]]</f>
        <v>50000</v>
      </c>
    </row>
    <row r="68" spans="2:8" x14ac:dyDescent="0.35">
      <c r="B68" s="2" t="s">
        <v>58</v>
      </c>
      <c r="C68" s="5">
        <v>15000</v>
      </c>
      <c r="D68" s="3">
        <v>18</v>
      </c>
      <c r="E68" s="3">
        <f>SUMIF('BARANG MASUK'!$C$2:$C$294,Katalog[[#This Row],[NAMA BARANG]],'BARANG MASUK'!$D$2:$D$294)</f>
        <v>50</v>
      </c>
      <c r="F68" s="3">
        <f>SUMIF('BARANG TERJUAL'!$C$2:$C$974,Katalog[[#This Row],[NAMA BARANG]],'BARANG TERJUAL'!$D$2:$D$974)</f>
        <v>4</v>
      </c>
      <c r="G68" s="3">
        <f>Katalog[[#This Row],[STOK AWAL]]+Katalog[[#This Row],[BARANG MASUK]]-Katalog[[#This Row],[BARANG TERJUAL]]</f>
        <v>64</v>
      </c>
      <c r="H68" s="4">
        <f>Katalog[[#This Row],[HARGA JUAL]]*Katalog[[#This Row],[BARANG TERJUAL]]</f>
        <v>60000</v>
      </c>
    </row>
    <row r="69" spans="2:8" x14ac:dyDescent="0.35">
      <c r="B69" s="2" t="s">
        <v>57</v>
      </c>
      <c r="C69" s="5">
        <v>35000</v>
      </c>
      <c r="D69" s="3">
        <v>14</v>
      </c>
      <c r="E69" s="3">
        <f>SUMIF('BARANG MASUK'!$C$2:$C$294,Katalog[[#This Row],[NAMA BARANG]],'BARANG MASUK'!$D$2:$D$294)</f>
        <v>30</v>
      </c>
      <c r="F69" s="3">
        <f>SUMIF('BARANG TERJUAL'!$C$2:$C$974,Katalog[[#This Row],[NAMA BARANG]],'BARANG TERJUAL'!$D$2:$D$974)</f>
        <v>10</v>
      </c>
      <c r="G69" s="3">
        <f>Katalog[[#This Row],[STOK AWAL]]+Katalog[[#This Row],[BARANG MASUK]]-Katalog[[#This Row],[BARANG TERJUAL]]</f>
        <v>34</v>
      </c>
      <c r="H69" s="4">
        <f>Katalog[[#This Row],[HARGA JUAL]]*Katalog[[#This Row],[BARANG TERJUAL]]</f>
        <v>350000</v>
      </c>
    </row>
    <row r="70" spans="2:8" x14ac:dyDescent="0.35">
      <c r="B70" s="2" t="s">
        <v>56</v>
      </c>
      <c r="C70" s="5">
        <v>55000</v>
      </c>
      <c r="D70" s="3">
        <v>21</v>
      </c>
      <c r="E70" s="3">
        <f>SUMIF('BARANG MASUK'!$C$2:$C$294,Katalog[[#This Row],[NAMA BARANG]],'BARANG MASUK'!$D$2:$D$294)</f>
        <v>15</v>
      </c>
      <c r="F70" s="3">
        <f>SUMIF('BARANG TERJUAL'!$C$2:$C$974,Katalog[[#This Row],[NAMA BARANG]],'BARANG TERJUAL'!$D$2:$D$974)</f>
        <v>14</v>
      </c>
      <c r="G70" s="3">
        <f>Katalog[[#This Row],[STOK AWAL]]+Katalog[[#This Row],[BARANG MASUK]]-Katalog[[#This Row],[BARANG TERJUAL]]</f>
        <v>22</v>
      </c>
      <c r="H70" s="4">
        <f>Katalog[[#This Row],[HARGA JUAL]]*Katalog[[#This Row],[BARANG TERJUAL]]</f>
        <v>770000</v>
      </c>
    </row>
    <row r="71" spans="2:8" x14ac:dyDescent="0.35">
      <c r="B71" s="2" t="s">
        <v>60</v>
      </c>
      <c r="C71" s="5">
        <v>25000</v>
      </c>
      <c r="D71" s="3">
        <v>42</v>
      </c>
      <c r="E71" s="3">
        <f>SUMIF('BARANG MASUK'!$C$2:$C$294,Katalog[[#This Row],[NAMA BARANG]],'BARANG MASUK'!$D$2:$D$294)</f>
        <v>30</v>
      </c>
      <c r="F71" s="3">
        <f>SUMIF('BARANG TERJUAL'!$C$2:$C$974,Katalog[[#This Row],[NAMA BARANG]],'BARANG TERJUAL'!$D$2:$D$974)</f>
        <v>11</v>
      </c>
      <c r="G71" s="3">
        <f>Katalog[[#This Row],[STOK AWAL]]+Katalog[[#This Row],[BARANG MASUK]]-Katalog[[#This Row],[BARANG TERJUAL]]</f>
        <v>61</v>
      </c>
      <c r="H71" s="4">
        <f>Katalog[[#This Row],[HARGA JUAL]]*Katalog[[#This Row],[BARANG TERJUAL]]</f>
        <v>275000</v>
      </c>
    </row>
    <row r="72" spans="2:8" x14ac:dyDescent="0.35">
      <c r="B72" s="2" t="s">
        <v>78</v>
      </c>
      <c r="C72" s="5">
        <v>61000</v>
      </c>
      <c r="D72" s="3">
        <v>25</v>
      </c>
      <c r="E72" s="3">
        <f>SUMIF('BARANG MASUK'!$C$2:$C$294,Katalog[[#This Row],[NAMA BARANG]],'BARANG MASUK'!$D$2:$D$294)</f>
        <v>10</v>
      </c>
      <c r="F72" s="3">
        <f>SUMIF('BARANG TERJUAL'!$C$2:$C$974,Katalog[[#This Row],[NAMA BARANG]],'BARANG TERJUAL'!$D$2:$D$974)</f>
        <v>7</v>
      </c>
      <c r="G72" s="3">
        <f>Katalog[[#This Row],[STOK AWAL]]+Katalog[[#This Row],[BARANG MASUK]]-Katalog[[#This Row],[BARANG TERJUAL]]</f>
        <v>28</v>
      </c>
      <c r="H72" s="4">
        <f>Katalog[[#This Row],[HARGA JUAL]]*Katalog[[#This Row],[BARANG TERJUAL]]</f>
        <v>427000</v>
      </c>
    </row>
    <row r="73" spans="2:8" x14ac:dyDescent="0.35">
      <c r="B73" s="2" t="s">
        <v>82</v>
      </c>
      <c r="C73" s="5">
        <v>270000</v>
      </c>
      <c r="D73" s="3">
        <v>14</v>
      </c>
      <c r="E73" s="3">
        <f>SUMIF('BARANG MASUK'!$C$2:$C$294,Katalog[[#This Row],[NAMA BARANG]],'BARANG MASUK'!$D$2:$D$294)</f>
        <v>50</v>
      </c>
      <c r="F73" s="3">
        <f>SUMIF('BARANG TERJUAL'!$C$2:$C$974,Katalog[[#This Row],[NAMA BARANG]],'BARANG TERJUAL'!$D$2:$D$974)</f>
        <v>10</v>
      </c>
      <c r="G73" s="3">
        <f>Katalog[[#This Row],[STOK AWAL]]+Katalog[[#This Row],[BARANG MASUK]]-Katalog[[#This Row],[BARANG TERJUAL]]</f>
        <v>54</v>
      </c>
      <c r="H73" s="4">
        <f>Katalog[[#This Row],[HARGA JUAL]]*Katalog[[#This Row],[BARANG TERJUAL]]</f>
        <v>2700000</v>
      </c>
    </row>
    <row r="74" spans="2:8" x14ac:dyDescent="0.35">
      <c r="B74" s="9" t="s">
        <v>176</v>
      </c>
      <c r="C74" s="10">
        <v>6000</v>
      </c>
      <c r="D74" s="3">
        <v>32</v>
      </c>
      <c r="E74" s="3">
        <f>SUMIF('BARANG MASUK'!$C$2:$C$294,Katalog[[#This Row],[NAMA BARANG]],'BARANG MASUK'!$D$2:$D$294)</f>
        <v>35</v>
      </c>
      <c r="F74" s="3">
        <f>SUMIF('BARANG TERJUAL'!$C$2:$C$974,Katalog[[#This Row],[NAMA BARANG]],'BARANG TERJUAL'!$D$2:$D$974)</f>
        <v>14</v>
      </c>
      <c r="G74" s="8">
        <f>Katalog[[#This Row],[STOK AWAL]]+Katalog[[#This Row],[BARANG MASUK]]-Katalog[[#This Row],[BARANG TERJUAL]]</f>
        <v>53</v>
      </c>
      <c r="H74" s="4">
        <f>Katalog[[#This Row],[HARGA JUAL]]*Katalog[[#This Row],[BARANG TERJUAL]]</f>
        <v>84000</v>
      </c>
    </row>
    <row r="75" spans="2:8" x14ac:dyDescent="0.35">
      <c r="B75" s="9" t="s">
        <v>175</v>
      </c>
      <c r="C75" s="10">
        <v>6000</v>
      </c>
      <c r="D75" s="3">
        <v>36</v>
      </c>
      <c r="E75" s="3">
        <f>SUMIF('BARANG MASUK'!$C$2:$C$294,Katalog[[#This Row],[NAMA BARANG]],'BARANG MASUK'!$D$2:$D$294)</f>
        <v>35</v>
      </c>
      <c r="F75" s="3">
        <f>SUMIF('BARANG TERJUAL'!$C$2:$C$974,Katalog[[#This Row],[NAMA BARANG]],'BARANG TERJUAL'!$D$2:$D$974)</f>
        <v>7</v>
      </c>
      <c r="G75" s="8">
        <f>Katalog[[#This Row],[STOK AWAL]]+Katalog[[#This Row],[BARANG MASUK]]-Katalog[[#This Row],[BARANG TERJUAL]]</f>
        <v>64</v>
      </c>
      <c r="H75" s="4">
        <f>Katalog[[#This Row],[HARGA JUAL]]*Katalog[[#This Row],[BARANG TERJUAL]]</f>
        <v>42000</v>
      </c>
    </row>
    <row r="76" spans="2:8" x14ac:dyDescent="0.35">
      <c r="B76" s="9" t="s">
        <v>199</v>
      </c>
      <c r="C76" s="10">
        <v>17000</v>
      </c>
      <c r="D76" s="3">
        <v>43</v>
      </c>
      <c r="E76" s="3">
        <f>SUMIF('BARANG MASUK'!$C$2:$C$294,Katalog[[#This Row],[NAMA BARANG]],'BARANG MASUK'!$D$2:$D$294)</f>
        <v>35</v>
      </c>
      <c r="F76" s="3">
        <f>SUMIF('BARANG TERJUAL'!$C$2:$C$974,Katalog[[#This Row],[NAMA BARANG]],'BARANG TERJUAL'!$D$2:$D$974)</f>
        <v>18</v>
      </c>
      <c r="G76" s="8">
        <f>Katalog[[#This Row],[STOK AWAL]]+Katalog[[#This Row],[BARANG MASUK]]-Katalog[[#This Row],[BARANG TERJUAL]]</f>
        <v>60</v>
      </c>
      <c r="H76" s="4">
        <f>Katalog[[#This Row],[HARGA JUAL]]*Katalog[[#This Row],[BARANG TERJUAL]]</f>
        <v>306000</v>
      </c>
    </row>
    <row r="77" spans="2:8" x14ac:dyDescent="0.35">
      <c r="B77" s="9" t="s">
        <v>194</v>
      </c>
      <c r="C77" s="10">
        <v>3000</v>
      </c>
      <c r="D77" s="3">
        <v>43</v>
      </c>
      <c r="E77" s="3">
        <f>SUMIF('BARANG MASUK'!$C$2:$C$294,Katalog[[#This Row],[NAMA BARANG]],'BARANG MASUK'!$D$2:$D$294)</f>
        <v>35</v>
      </c>
      <c r="F77" s="3">
        <f>SUMIF('BARANG TERJUAL'!$C$2:$C$974,Katalog[[#This Row],[NAMA BARANG]],'BARANG TERJUAL'!$D$2:$D$974)</f>
        <v>15</v>
      </c>
      <c r="G77" s="8">
        <f>Katalog[[#This Row],[STOK AWAL]]+Katalog[[#This Row],[BARANG MASUK]]-Katalog[[#This Row],[BARANG TERJUAL]]</f>
        <v>63</v>
      </c>
      <c r="H77" s="4">
        <f>Katalog[[#This Row],[HARGA JUAL]]*Katalog[[#This Row],[BARANG TERJUAL]]</f>
        <v>45000</v>
      </c>
    </row>
    <row r="78" spans="2:8" x14ac:dyDescent="0.35">
      <c r="B78" s="9" t="s">
        <v>177</v>
      </c>
      <c r="C78" s="10">
        <v>15000</v>
      </c>
      <c r="D78" s="3">
        <v>20</v>
      </c>
      <c r="E78" s="3">
        <f>SUMIF('BARANG MASUK'!$C$2:$C$294,Katalog[[#This Row],[NAMA BARANG]],'BARANG MASUK'!$D$2:$D$294)</f>
        <v>35</v>
      </c>
      <c r="F78" s="3">
        <f>SUMIF('BARANG TERJUAL'!$C$2:$C$974,Katalog[[#This Row],[NAMA BARANG]],'BARANG TERJUAL'!$D$2:$D$974)</f>
        <v>8</v>
      </c>
      <c r="G78" s="8">
        <f>Katalog[[#This Row],[STOK AWAL]]+Katalog[[#This Row],[BARANG MASUK]]-Katalog[[#This Row],[BARANG TERJUAL]]</f>
        <v>47</v>
      </c>
      <c r="H78" s="4">
        <f>Katalog[[#This Row],[HARGA JUAL]]*Katalog[[#This Row],[BARANG TERJUAL]]</f>
        <v>120000</v>
      </c>
    </row>
    <row r="79" spans="2:8" x14ac:dyDescent="0.35">
      <c r="B79" s="9" t="s">
        <v>178</v>
      </c>
      <c r="C79" s="10">
        <v>15000</v>
      </c>
      <c r="D79" s="3">
        <v>25</v>
      </c>
      <c r="E79" s="3">
        <f>SUMIF('BARANG MASUK'!$C$2:$C$294,Katalog[[#This Row],[NAMA BARANG]],'BARANG MASUK'!$D$2:$D$294)</f>
        <v>35</v>
      </c>
      <c r="F79" s="3">
        <f>SUMIF('BARANG TERJUAL'!$C$2:$C$974,Katalog[[#This Row],[NAMA BARANG]],'BARANG TERJUAL'!$D$2:$D$974)</f>
        <v>10</v>
      </c>
      <c r="G79" s="8">
        <f>Katalog[[#This Row],[STOK AWAL]]+Katalog[[#This Row],[BARANG MASUK]]-Katalog[[#This Row],[BARANG TERJUAL]]</f>
        <v>50</v>
      </c>
      <c r="H79" s="4">
        <f>Katalog[[#This Row],[HARGA JUAL]]*Katalog[[#This Row],[BARANG TERJUAL]]</f>
        <v>150000</v>
      </c>
    </row>
    <row r="80" spans="2:8" x14ac:dyDescent="0.35">
      <c r="B80" s="2" t="s">
        <v>93</v>
      </c>
      <c r="C80" s="5">
        <v>450000</v>
      </c>
      <c r="D80" s="3">
        <v>6</v>
      </c>
      <c r="E80" s="3">
        <f>SUMIF('BARANG MASUK'!$C$2:$C$294,Katalog[[#This Row],[NAMA BARANG]],'BARANG MASUK'!$D$2:$D$294)</f>
        <v>30</v>
      </c>
      <c r="F80" s="3">
        <f>SUMIF('BARANG TERJUAL'!$C$2:$C$974,Katalog[[#This Row],[NAMA BARANG]],'BARANG TERJUAL'!$D$2:$D$974)</f>
        <v>9</v>
      </c>
      <c r="G80" s="3">
        <f>Katalog[[#This Row],[STOK AWAL]]+Katalog[[#This Row],[BARANG MASUK]]-Katalog[[#This Row],[BARANG TERJUAL]]</f>
        <v>27</v>
      </c>
      <c r="H80" s="4">
        <f>Katalog[[#This Row],[HARGA JUAL]]*Katalog[[#This Row],[BARANG TERJUAL]]</f>
        <v>4050000</v>
      </c>
    </row>
    <row r="81" spans="2:8" x14ac:dyDescent="0.35">
      <c r="B81" s="2" t="s">
        <v>87</v>
      </c>
      <c r="C81" s="5">
        <v>185000</v>
      </c>
      <c r="D81" s="3">
        <v>14</v>
      </c>
      <c r="E81" s="3">
        <f>SUMIF('BARANG MASUK'!$C$2:$C$294,Katalog[[#This Row],[NAMA BARANG]],'BARANG MASUK'!$D$2:$D$294)</f>
        <v>30</v>
      </c>
      <c r="F81" s="3">
        <f>SUMIF('BARANG TERJUAL'!$C$2:$C$974,Katalog[[#This Row],[NAMA BARANG]],'BARANG TERJUAL'!$D$2:$D$974)</f>
        <v>11</v>
      </c>
      <c r="G81" s="3">
        <f>Katalog[[#This Row],[STOK AWAL]]+Katalog[[#This Row],[BARANG MASUK]]-Katalog[[#This Row],[BARANG TERJUAL]]</f>
        <v>33</v>
      </c>
      <c r="H81" s="4">
        <f>Katalog[[#This Row],[HARGA JUAL]]*Katalog[[#This Row],[BARANG TERJUAL]]</f>
        <v>2035000</v>
      </c>
    </row>
    <row r="82" spans="2:8" x14ac:dyDescent="0.35">
      <c r="B82" s="2" t="s">
        <v>35</v>
      </c>
      <c r="C82" s="5">
        <v>7000</v>
      </c>
      <c r="D82" s="3">
        <v>34</v>
      </c>
      <c r="E82" s="3">
        <f>SUMIF('BARANG MASUK'!$C$2:$C$294,Katalog[[#This Row],[NAMA BARANG]],'BARANG MASUK'!$D$2:$D$294)</f>
        <v>100</v>
      </c>
      <c r="F82" s="3">
        <f>SUMIF('BARANG TERJUAL'!$C$2:$C$974,Katalog[[#This Row],[NAMA BARANG]],'BARANG TERJUAL'!$D$2:$D$974)</f>
        <v>36</v>
      </c>
      <c r="G82" s="3">
        <f>Katalog[[#This Row],[STOK AWAL]]+Katalog[[#This Row],[BARANG MASUK]]-Katalog[[#This Row],[BARANG TERJUAL]]</f>
        <v>98</v>
      </c>
      <c r="H82" s="4">
        <f>Katalog[[#This Row],[HARGA JUAL]]*Katalog[[#This Row],[BARANG TERJUAL]]</f>
        <v>252000</v>
      </c>
    </row>
    <row r="83" spans="2:8" x14ac:dyDescent="0.35">
      <c r="B83" s="2" t="s">
        <v>37</v>
      </c>
      <c r="C83" s="5">
        <v>5000</v>
      </c>
      <c r="D83" s="3">
        <v>27</v>
      </c>
      <c r="E83" s="3">
        <f>SUMIF('BARANG MASUK'!$C$2:$C$294,Katalog[[#This Row],[NAMA BARANG]],'BARANG MASUK'!$D$2:$D$294)</f>
        <v>100</v>
      </c>
      <c r="F83" s="3">
        <f>SUMIF('BARANG TERJUAL'!$C$2:$C$974,Katalog[[#This Row],[NAMA BARANG]],'BARANG TERJUAL'!$D$2:$D$974)</f>
        <v>30</v>
      </c>
      <c r="G83" s="3">
        <f>Katalog[[#This Row],[STOK AWAL]]+Katalog[[#This Row],[BARANG MASUK]]-Katalog[[#This Row],[BARANG TERJUAL]]</f>
        <v>97</v>
      </c>
      <c r="H83" s="4">
        <f>Katalog[[#This Row],[HARGA JUAL]]*Katalog[[#This Row],[BARANG TERJUAL]]</f>
        <v>150000</v>
      </c>
    </row>
    <row r="84" spans="2:8" x14ac:dyDescent="0.35">
      <c r="B84" s="2" t="s">
        <v>36</v>
      </c>
      <c r="C84" s="5">
        <v>7000</v>
      </c>
      <c r="D84" s="3">
        <v>14</v>
      </c>
      <c r="E84" s="3">
        <f>SUMIF('BARANG MASUK'!$C$2:$C$294,Katalog[[#This Row],[NAMA BARANG]],'BARANG MASUK'!$D$2:$D$294)</f>
        <v>100</v>
      </c>
      <c r="F84" s="3">
        <f>SUMIF('BARANG TERJUAL'!$C$2:$C$974,Katalog[[#This Row],[NAMA BARANG]],'BARANG TERJUAL'!$D$2:$D$974)</f>
        <v>27</v>
      </c>
      <c r="G84" s="3">
        <f>Katalog[[#This Row],[STOK AWAL]]+Katalog[[#This Row],[BARANG MASUK]]-Katalog[[#This Row],[BARANG TERJUAL]]</f>
        <v>87</v>
      </c>
      <c r="H84" s="4">
        <f>Katalog[[#This Row],[HARGA JUAL]]*Katalog[[#This Row],[BARANG TERJUAL]]</f>
        <v>189000</v>
      </c>
    </row>
    <row r="85" spans="2:8" x14ac:dyDescent="0.35">
      <c r="B85" s="2" t="s">
        <v>24</v>
      </c>
      <c r="C85" s="5">
        <v>55000</v>
      </c>
      <c r="D85" s="3">
        <v>15</v>
      </c>
      <c r="E85" s="3">
        <f>SUMIF('BARANG MASUK'!$C$2:$C$294,Katalog[[#This Row],[NAMA BARANG]],'BARANG MASUK'!$D$2:$D$294)</f>
        <v>10</v>
      </c>
      <c r="F85" s="3">
        <f>SUMIF('BARANG TERJUAL'!$C$2:$C$974,Katalog[[#This Row],[NAMA BARANG]],'BARANG TERJUAL'!$D$2:$D$974)</f>
        <v>6</v>
      </c>
      <c r="G85" s="3">
        <f>Katalog[[#This Row],[STOK AWAL]]+Katalog[[#This Row],[BARANG MASUK]]-Katalog[[#This Row],[BARANG TERJUAL]]</f>
        <v>19</v>
      </c>
      <c r="H85" s="4">
        <f>Katalog[[#This Row],[HARGA JUAL]]*Katalog[[#This Row],[BARANG TERJUAL]]</f>
        <v>330000</v>
      </c>
    </row>
    <row r="86" spans="2:8" x14ac:dyDescent="0.35">
      <c r="B86" s="2" t="s">
        <v>17</v>
      </c>
      <c r="C86" s="5">
        <v>65000</v>
      </c>
      <c r="D86" s="3">
        <v>10</v>
      </c>
      <c r="E86" s="3">
        <f>SUMIF('BARANG MASUK'!$C$2:$C$294,Katalog[[#This Row],[NAMA BARANG]],'BARANG MASUK'!$D$2:$D$294)</f>
        <v>20</v>
      </c>
      <c r="F86" s="3">
        <f>SUMIF('BARANG TERJUAL'!$C$2:$C$974,Katalog[[#This Row],[NAMA BARANG]],'BARANG TERJUAL'!$D$2:$D$974)</f>
        <v>8</v>
      </c>
      <c r="G86" s="3">
        <f>Katalog[[#This Row],[STOK AWAL]]+Katalog[[#This Row],[BARANG MASUK]]-Katalog[[#This Row],[BARANG TERJUAL]]</f>
        <v>22</v>
      </c>
      <c r="H86" s="4">
        <f>Katalog[[#This Row],[HARGA JUAL]]*Katalog[[#This Row],[BARANG TERJUAL]]</f>
        <v>520000</v>
      </c>
    </row>
    <row r="87" spans="2:8" x14ac:dyDescent="0.35">
      <c r="B87" s="2" t="s">
        <v>16</v>
      </c>
      <c r="C87" s="5">
        <v>60000</v>
      </c>
      <c r="D87" s="3">
        <v>25</v>
      </c>
      <c r="E87" s="3">
        <f>SUMIF('BARANG MASUK'!$C$2:$C$294,Katalog[[#This Row],[NAMA BARANG]],'BARANG MASUK'!$D$2:$D$294)</f>
        <v>10</v>
      </c>
      <c r="F87" s="3">
        <f>SUMIF('BARANG TERJUAL'!$C$2:$C$974,Katalog[[#This Row],[NAMA BARANG]],'BARANG TERJUAL'!$D$2:$D$974)</f>
        <v>6</v>
      </c>
      <c r="G87" s="3">
        <f>Katalog[[#This Row],[STOK AWAL]]+Katalog[[#This Row],[BARANG MASUK]]-Katalog[[#This Row],[BARANG TERJUAL]]</f>
        <v>29</v>
      </c>
      <c r="H87" s="4">
        <f>Katalog[[#This Row],[HARGA JUAL]]*Katalog[[#This Row],[BARANG TERJUAL]]</f>
        <v>360000</v>
      </c>
    </row>
    <row r="88" spans="2:8" x14ac:dyDescent="0.35">
      <c r="B88" s="2" t="s">
        <v>26</v>
      </c>
      <c r="C88" s="5">
        <v>100000</v>
      </c>
      <c r="D88" s="3">
        <v>20</v>
      </c>
      <c r="E88" s="3">
        <f>SUMIF('BARANG MASUK'!$C$2:$C$294,Katalog[[#This Row],[NAMA BARANG]],'BARANG MASUK'!$D$2:$D$294)</f>
        <v>10</v>
      </c>
      <c r="F88" s="3">
        <f>SUMIF('BARANG TERJUAL'!$C$2:$C$974,Katalog[[#This Row],[NAMA BARANG]],'BARANG TERJUAL'!$D$2:$D$974)</f>
        <v>4</v>
      </c>
      <c r="G88" s="3">
        <f>Katalog[[#This Row],[STOK AWAL]]+Katalog[[#This Row],[BARANG MASUK]]-Katalog[[#This Row],[BARANG TERJUAL]]</f>
        <v>26</v>
      </c>
      <c r="H88" s="4">
        <f>Katalog[[#This Row],[HARGA JUAL]]*Katalog[[#This Row],[BARANG TERJUAL]]</f>
        <v>400000</v>
      </c>
    </row>
    <row r="89" spans="2:8" x14ac:dyDescent="0.35">
      <c r="B89" s="2" t="s">
        <v>18</v>
      </c>
      <c r="C89" s="5">
        <v>230000</v>
      </c>
      <c r="D89" s="3">
        <v>25</v>
      </c>
      <c r="E89" s="3">
        <f>SUMIF('BARANG MASUK'!$C$2:$C$294,Katalog[[#This Row],[NAMA BARANG]],'BARANG MASUK'!$D$2:$D$294)</f>
        <v>10</v>
      </c>
      <c r="F89" s="3">
        <f>SUMIF('BARANG TERJUAL'!$C$2:$C$974,Katalog[[#This Row],[NAMA BARANG]],'BARANG TERJUAL'!$D$2:$D$974)</f>
        <v>3</v>
      </c>
      <c r="G89" s="3">
        <f>Katalog[[#This Row],[STOK AWAL]]+Katalog[[#This Row],[BARANG MASUK]]-Katalog[[#This Row],[BARANG TERJUAL]]</f>
        <v>32</v>
      </c>
      <c r="H89" s="4">
        <f>Katalog[[#This Row],[HARGA JUAL]]*Katalog[[#This Row],[BARANG TERJUAL]]</f>
        <v>690000</v>
      </c>
    </row>
    <row r="90" spans="2:8" x14ac:dyDescent="0.35">
      <c r="B90" s="2" t="s">
        <v>19</v>
      </c>
      <c r="C90" s="5">
        <v>150000</v>
      </c>
      <c r="D90" s="3">
        <v>22</v>
      </c>
      <c r="E90" s="3">
        <f>SUMIF('BARANG MASUK'!$C$2:$C$294,Katalog[[#This Row],[NAMA BARANG]],'BARANG MASUK'!$D$2:$D$294)</f>
        <v>10</v>
      </c>
      <c r="F90" s="3">
        <f>SUMIF('BARANG TERJUAL'!$C$2:$C$974,Katalog[[#This Row],[NAMA BARANG]],'BARANG TERJUAL'!$D$2:$D$974)</f>
        <v>4</v>
      </c>
      <c r="G90" s="3">
        <f>Katalog[[#This Row],[STOK AWAL]]+Katalog[[#This Row],[BARANG MASUK]]-Katalog[[#This Row],[BARANG TERJUAL]]</f>
        <v>28</v>
      </c>
      <c r="H90" s="4">
        <f>Katalog[[#This Row],[HARGA JUAL]]*Katalog[[#This Row],[BARANG TERJUAL]]</f>
        <v>600000</v>
      </c>
    </row>
    <row r="91" spans="2:8" x14ac:dyDescent="0.35">
      <c r="B91" s="2" t="s">
        <v>25</v>
      </c>
      <c r="C91" s="5">
        <v>35000</v>
      </c>
      <c r="D91" s="3">
        <v>14</v>
      </c>
      <c r="E91" s="3">
        <f>SUMIF('BARANG MASUK'!$C$2:$C$294,Katalog[[#This Row],[NAMA BARANG]],'BARANG MASUK'!$D$2:$D$294)</f>
        <v>10</v>
      </c>
      <c r="F91" s="3">
        <f>SUMIF('BARANG TERJUAL'!$C$2:$C$974,Katalog[[#This Row],[NAMA BARANG]],'BARANG TERJUAL'!$D$2:$D$974)</f>
        <v>2</v>
      </c>
      <c r="G91" s="3">
        <f>Katalog[[#This Row],[STOK AWAL]]+Katalog[[#This Row],[BARANG MASUK]]-Katalog[[#This Row],[BARANG TERJUAL]]</f>
        <v>22</v>
      </c>
      <c r="H91" s="4">
        <f>Katalog[[#This Row],[HARGA JUAL]]*Katalog[[#This Row],[BARANG TERJUAL]]</f>
        <v>70000</v>
      </c>
    </row>
    <row r="92" spans="2:8" x14ac:dyDescent="0.35">
      <c r="B92" s="2" t="s">
        <v>28</v>
      </c>
      <c r="C92" s="5">
        <v>40000</v>
      </c>
      <c r="D92" s="3">
        <v>29</v>
      </c>
      <c r="E92" s="3">
        <f>SUMIF('BARANG MASUK'!$C$2:$C$294,Katalog[[#This Row],[NAMA BARANG]],'BARANG MASUK'!$D$2:$D$294)</f>
        <v>10</v>
      </c>
      <c r="F92" s="3">
        <f>SUMIF('BARANG TERJUAL'!$C$2:$C$974,Katalog[[#This Row],[NAMA BARANG]],'BARANG TERJUAL'!$D$2:$D$974)</f>
        <v>5</v>
      </c>
      <c r="G92" s="3">
        <f>Katalog[[#This Row],[STOK AWAL]]+Katalog[[#This Row],[BARANG MASUK]]-Katalog[[#This Row],[BARANG TERJUAL]]</f>
        <v>34</v>
      </c>
      <c r="H92" s="4">
        <f>Katalog[[#This Row],[HARGA JUAL]]*Katalog[[#This Row],[BARANG TERJUAL]]</f>
        <v>200000</v>
      </c>
    </row>
    <row r="93" spans="2:8" x14ac:dyDescent="0.35">
      <c r="B93" s="2" t="s">
        <v>29</v>
      </c>
      <c r="C93" s="5">
        <v>50000</v>
      </c>
      <c r="D93" s="3">
        <v>12</v>
      </c>
      <c r="E93" s="3">
        <f>SUMIF('BARANG MASUK'!$C$2:$C$294,Katalog[[#This Row],[NAMA BARANG]],'BARANG MASUK'!$D$2:$D$294)</f>
        <v>20</v>
      </c>
      <c r="F93" s="3">
        <f>SUMIF('BARANG TERJUAL'!$C$2:$C$974,Katalog[[#This Row],[NAMA BARANG]],'BARANG TERJUAL'!$D$2:$D$974)</f>
        <v>3</v>
      </c>
      <c r="G93" s="3">
        <f>Katalog[[#This Row],[STOK AWAL]]+Katalog[[#This Row],[BARANG MASUK]]-Katalog[[#This Row],[BARANG TERJUAL]]</f>
        <v>29</v>
      </c>
      <c r="H93" s="4">
        <f>Katalog[[#This Row],[HARGA JUAL]]*Katalog[[#This Row],[BARANG TERJUAL]]</f>
        <v>150000</v>
      </c>
    </row>
    <row r="94" spans="2:8" x14ac:dyDescent="0.35">
      <c r="B94" s="2" t="s">
        <v>30</v>
      </c>
      <c r="C94" s="5">
        <v>25000</v>
      </c>
      <c r="D94" s="3">
        <v>28</v>
      </c>
      <c r="E94" s="3">
        <f>SUMIF('BARANG MASUK'!$C$2:$C$294,Katalog[[#This Row],[NAMA BARANG]],'BARANG MASUK'!$D$2:$D$294)</f>
        <v>10</v>
      </c>
      <c r="F94" s="3">
        <f>SUMIF('BARANG TERJUAL'!$C$2:$C$974,Katalog[[#This Row],[NAMA BARANG]],'BARANG TERJUAL'!$D$2:$D$974)</f>
        <v>12</v>
      </c>
      <c r="G94" s="3">
        <f>Katalog[[#This Row],[STOK AWAL]]+Katalog[[#This Row],[BARANG MASUK]]-Katalog[[#This Row],[BARANG TERJUAL]]</f>
        <v>26</v>
      </c>
      <c r="H94" s="4">
        <f>Katalog[[#This Row],[HARGA JUAL]]*Katalog[[#This Row],[BARANG TERJUAL]]</f>
        <v>300000</v>
      </c>
    </row>
    <row r="95" spans="2:8" x14ac:dyDescent="0.35">
      <c r="B95" s="2" t="s">
        <v>31</v>
      </c>
      <c r="C95" s="5">
        <v>15000</v>
      </c>
      <c r="D95" s="3">
        <v>14</v>
      </c>
      <c r="E95" s="3">
        <f>SUMIF('BARANG MASUK'!$C$2:$C$294,Katalog[[#This Row],[NAMA BARANG]],'BARANG MASUK'!$D$2:$D$294)</f>
        <v>10</v>
      </c>
      <c r="F95" s="3">
        <f>SUMIF('BARANG TERJUAL'!$C$2:$C$974,Katalog[[#This Row],[NAMA BARANG]],'BARANG TERJUAL'!$D$2:$D$974)</f>
        <v>4</v>
      </c>
      <c r="G95" s="3">
        <f>Katalog[[#This Row],[STOK AWAL]]+Katalog[[#This Row],[BARANG MASUK]]-Katalog[[#This Row],[BARANG TERJUAL]]</f>
        <v>20</v>
      </c>
      <c r="H95" s="4">
        <f>Katalog[[#This Row],[HARGA JUAL]]*Katalog[[#This Row],[BARANG TERJUAL]]</f>
        <v>60000</v>
      </c>
    </row>
    <row r="96" spans="2:8" x14ac:dyDescent="0.35">
      <c r="B96" s="2" t="s">
        <v>21</v>
      </c>
      <c r="C96" s="5">
        <v>80000</v>
      </c>
      <c r="D96" s="3">
        <v>20</v>
      </c>
      <c r="E96" s="3">
        <f>SUMIF('BARANG MASUK'!$C$2:$C$294,Katalog[[#This Row],[NAMA BARANG]],'BARANG MASUK'!$D$2:$D$294)</f>
        <v>10</v>
      </c>
      <c r="F96" s="3">
        <f>SUMIF('BARANG TERJUAL'!$C$2:$C$974,Katalog[[#This Row],[NAMA BARANG]],'BARANG TERJUAL'!$D$2:$D$974)</f>
        <v>5</v>
      </c>
      <c r="G96" s="3">
        <f>Katalog[[#This Row],[STOK AWAL]]+Katalog[[#This Row],[BARANG MASUK]]-Katalog[[#This Row],[BARANG TERJUAL]]</f>
        <v>25</v>
      </c>
      <c r="H96" s="4">
        <f>Katalog[[#This Row],[HARGA JUAL]]*Katalog[[#This Row],[BARANG TERJUAL]]</f>
        <v>400000</v>
      </c>
    </row>
    <row r="97" spans="2:8" x14ac:dyDescent="0.35">
      <c r="B97" s="2" t="s">
        <v>22</v>
      </c>
      <c r="C97" s="5">
        <v>90000</v>
      </c>
      <c r="D97" s="3">
        <v>12</v>
      </c>
      <c r="E97" s="3">
        <f>SUMIF('BARANG MASUK'!$C$2:$C$294,Katalog[[#This Row],[NAMA BARANG]],'BARANG MASUK'!$D$2:$D$294)</f>
        <v>10</v>
      </c>
      <c r="F97" s="3">
        <f>SUMIF('BARANG TERJUAL'!$C$2:$C$974,Katalog[[#This Row],[NAMA BARANG]],'BARANG TERJUAL'!$D$2:$D$974)</f>
        <v>5</v>
      </c>
      <c r="G97" s="3">
        <f>Katalog[[#This Row],[STOK AWAL]]+Katalog[[#This Row],[BARANG MASUK]]-Katalog[[#This Row],[BARANG TERJUAL]]</f>
        <v>17</v>
      </c>
      <c r="H97" s="4">
        <f>Katalog[[#This Row],[HARGA JUAL]]*Katalog[[#This Row],[BARANG TERJUAL]]</f>
        <v>450000</v>
      </c>
    </row>
    <row r="98" spans="2:8" x14ac:dyDescent="0.35">
      <c r="B98" s="2" t="s">
        <v>27</v>
      </c>
      <c r="C98" s="5">
        <v>40000</v>
      </c>
      <c r="D98" s="3">
        <v>27</v>
      </c>
      <c r="E98" s="3">
        <f>SUMIF('BARANG MASUK'!$C$2:$C$294,Katalog[[#This Row],[NAMA BARANG]],'BARANG MASUK'!$D$2:$D$294)</f>
        <v>10</v>
      </c>
      <c r="F98" s="3">
        <f>SUMIF('BARANG TERJUAL'!$C$2:$C$974,Katalog[[#This Row],[NAMA BARANG]],'BARANG TERJUAL'!$D$2:$D$974)</f>
        <v>7</v>
      </c>
      <c r="G98" s="3">
        <f>Katalog[[#This Row],[STOK AWAL]]+Katalog[[#This Row],[BARANG MASUK]]-Katalog[[#This Row],[BARANG TERJUAL]]</f>
        <v>30</v>
      </c>
      <c r="H98" s="4">
        <f>Katalog[[#This Row],[HARGA JUAL]]*Katalog[[#This Row],[BARANG TERJUAL]]</f>
        <v>280000</v>
      </c>
    </row>
    <row r="99" spans="2:8" x14ac:dyDescent="0.35">
      <c r="B99" s="2" t="s">
        <v>20</v>
      </c>
      <c r="C99" s="5">
        <v>90000</v>
      </c>
      <c r="D99" s="3">
        <v>23</v>
      </c>
      <c r="E99" s="3">
        <f>SUMIF('BARANG MASUK'!$C$2:$C$294,Katalog[[#This Row],[NAMA BARANG]],'BARANG MASUK'!$D$2:$D$294)</f>
        <v>10</v>
      </c>
      <c r="F99" s="3">
        <f>SUMIF('BARANG TERJUAL'!$C$2:$C$974,Katalog[[#This Row],[NAMA BARANG]],'BARANG TERJUAL'!$D$2:$D$974)</f>
        <v>8</v>
      </c>
      <c r="G99" s="3">
        <f>Katalog[[#This Row],[STOK AWAL]]+Katalog[[#This Row],[BARANG MASUK]]-Katalog[[#This Row],[BARANG TERJUAL]]</f>
        <v>25</v>
      </c>
      <c r="H99" s="4">
        <f>Katalog[[#This Row],[HARGA JUAL]]*Katalog[[#This Row],[BARANG TERJUAL]]</f>
        <v>720000</v>
      </c>
    </row>
    <row r="100" spans="2:8" x14ac:dyDescent="0.35">
      <c r="B100" s="2" t="s">
        <v>23</v>
      </c>
      <c r="C100" s="5">
        <v>130000</v>
      </c>
      <c r="D100" s="3">
        <v>10</v>
      </c>
      <c r="E100" s="3">
        <f>SUMIF('BARANG MASUK'!$C$2:$C$294,Katalog[[#This Row],[NAMA BARANG]],'BARANG MASUK'!$D$2:$D$294)</f>
        <v>20</v>
      </c>
      <c r="F100" s="3">
        <f>SUMIF('BARANG TERJUAL'!$C$2:$C$974,Katalog[[#This Row],[NAMA BARANG]],'BARANG TERJUAL'!$D$2:$D$974)</f>
        <v>2</v>
      </c>
      <c r="G100" s="3">
        <f>Katalog[[#This Row],[STOK AWAL]]+Katalog[[#This Row],[BARANG MASUK]]-Katalog[[#This Row],[BARANG TERJUAL]]</f>
        <v>28</v>
      </c>
      <c r="H100" s="4">
        <f>Katalog[[#This Row],[HARGA JUAL]]*Katalog[[#This Row],[BARANG TERJUAL]]</f>
        <v>260000</v>
      </c>
    </row>
    <row r="101" spans="2:8" x14ac:dyDescent="0.35">
      <c r="B101" s="9" t="s">
        <v>168</v>
      </c>
      <c r="C101" s="10">
        <v>4000</v>
      </c>
      <c r="D101" s="3">
        <v>32</v>
      </c>
      <c r="E101" s="3">
        <f>SUMIF('BARANG MASUK'!$C$2:$C$294,Katalog[[#This Row],[NAMA BARANG]],'BARANG MASUK'!$D$2:$D$294)</f>
        <v>40</v>
      </c>
      <c r="F101" s="3">
        <f>SUMIF('BARANG TERJUAL'!$C$2:$C$974,Katalog[[#This Row],[NAMA BARANG]],'BARANG TERJUAL'!$D$2:$D$974)</f>
        <v>31</v>
      </c>
      <c r="G101" s="8">
        <f>Katalog[[#This Row],[STOK AWAL]]+Katalog[[#This Row],[BARANG MASUK]]-Katalog[[#This Row],[BARANG TERJUAL]]</f>
        <v>41</v>
      </c>
      <c r="H101" s="4">
        <f>Katalog[[#This Row],[HARGA JUAL]]*Katalog[[#This Row],[BARANG TERJUAL]]</f>
        <v>124000</v>
      </c>
    </row>
    <row r="102" spans="2:8" x14ac:dyDescent="0.35">
      <c r="B102" s="9" t="s">
        <v>169</v>
      </c>
      <c r="C102" s="10">
        <v>8000</v>
      </c>
      <c r="D102" s="3">
        <v>23</v>
      </c>
      <c r="E102" s="3">
        <f>SUMIF('BARANG MASUK'!$C$2:$C$294,Katalog[[#This Row],[NAMA BARANG]],'BARANG MASUK'!$D$2:$D$294)</f>
        <v>40</v>
      </c>
      <c r="F102" s="3">
        <f>SUMIF('BARANG TERJUAL'!$C$2:$C$974,Katalog[[#This Row],[NAMA BARANG]],'BARANG TERJUAL'!$D$2:$D$974)</f>
        <v>30</v>
      </c>
      <c r="G102" s="8">
        <f>Katalog[[#This Row],[STOK AWAL]]+Katalog[[#This Row],[BARANG MASUK]]-Katalog[[#This Row],[BARANG TERJUAL]]</f>
        <v>33</v>
      </c>
      <c r="H102" s="4">
        <f>Katalog[[#This Row],[HARGA JUAL]]*Katalog[[#This Row],[BARANG TERJUAL]]</f>
        <v>240000</v>
      </c>
    </row>
    <row r="103" spans="2:8" x14ac:dyDescent="0.35">
      <c r="B103" s="9" t="s">
        <v>167</v>
      </c>
      <c r="C103" s="10">
        <v>6000</v>
      </c>
      <c r="D103" s="3">
        <v>46</v>
      </c>
      <c r="E103" s="3">
        <f>SUMIF('BARANG MASUK'!$C$2:$C$294,Katalog[[#This Row],[NAMA BARANG]],'BARANG MASUK'!$D$2:$D$294)</f>
        <v>40</v>
      </c>
      <c r="F103" s="3">
        <f>SUMIF('BARANG TERJUAL'!$C$2:$C$974,Katalog[[#This Row],[NAMA BARANG]],'BARANG TERJUAL'!$D$2:$D$974)</f>
        <v>39</v>
      </c>
      <c r="G103" s="8">
        <f>Katalog[[#This Row],[STOK AWAL]]+Katalog[[#This Row],[BARANG MASUK]]-Katalog[[#This Row],[BARANG TERJUAL]]</f>
        <v>47</v>
      </c>
      <c r="H103" s="4">
        <f>Katalog[[#This Row],[HARGA JUAL]]*Katalog[[#This Row],[BARANG TERJUAL]]</f>
        <v>234000</v>
      </c>
    </row>
    <row r="104" spans="2:8" x14ac:dyDescent="0.35">
      <c r="B104" s="2" t="s">
        <v>68</v>
      </c>
      <c r="C104" s="5">
        <v>15000</v>
      </c>
      <c r="D104" s="3">
        <v>35</v>
      </c>
      <c r="E104" s="3">
        <f>SUMIF('BARANG MASUK'!$C$2:$C$294,Katalog[[#This Row],[NAMA BARANG]],'BARANG MASUK'!$D$2:$D$294)</f>
        <v>20</v>
      </c>
      <c r="F104" s="3">
        <f>SUMIF('BARANG TERJUAL'!$C$2:$C$974,Katalog[[#This Row],[NAMA BARANG]],'BARANG TERJUAL'!$D$2:$D$974)</f>
        <v>8</v>
      </c>
      <c r="G104" s="3">
        <f>Katalog[[#This Row],[STOK AWAL]]+Katalog[[#This Row],[BARANG MASUK]]-Katalog[[#This Row],[BARANG TERJUAL]]</f>
        <v>47</v>
      </c>
      <c r="H104" s="4">
        <f>Katalog[[#This Row],[HARGA JUAL]]*Katalog[[#This Row],[BARANG TERJUAL]]</f>
        <v>120000</v>
      </c>
    </row>
    <row r="105" spans="2:8" x14ac:dyDescent="0.35">
      <c r="B105" s="2" t="s">
        <v>66</v>
      </c>
      <c r="C105" s="5">
        <v>18000</v>
      </c>
      <c r="D105" s="3">
        <v>25</v>
      </c>
      <c r="E105" s="3">
        <f>SUMIF('BARANG MASUK'!$C$2:$C$294,Katalog[[#This Row],[NAMA BARANG]],'BARANG MASUK'!$D$2:$D$294)</f>
        <v>20</v>
      </c>
      <c r="F105" s="3">
        <f>SUMIF('BARANG TERJUAL'!$C$2:$C$974,Katalog[[#This Row],[NAMA BARANG]],'BARANG TERJUAL'!$D$2:$D$974)</f>
        <v>9</v>
      </c>
      <c r="G105" s="3">
        <f>Katalog[[#This Row],[STOK AWAL]]+Katalog[[#This Row],[BARANG MASUK]]-Katalog[[#This Row],[BARANG TERJUAL]]</f>
        <v>36</v>
      </c>
      <c r="H105" s="4">
        <f>Katalog[[#This Row],[HARGA JUAL]]*Katalog[[#This Row],[BARANG TERJUAL]]</f>
        <v>162000</v>
      </c>
    </row>
    <row r="106" spans="2:8" x14ac:dyDescent="0.35">
      <c r="B106" s="1" t="s">
        <v>8</v>
      </c>
      <c r="C106" s="5">
        <v>50000</v>
      </c>
      <c r="D106" s="3">
        <v>55</v>
      </c>
      <c r="E106" s="3">
        <f>SUMIF('BARANG MASUK'!$C$2:$C$294,Katalog[[#This Row],[NAMA BARANG]],'BARANG MASUK'!$D$2:$D$294)</f>
        <v>30</v>
      </c>
      <c r="F106" s="3">
        <f>SUMIF('BARANG TERJUAL'!$C$2:$C$974,Katalog[[#This Row],[NAMA BARANG]],'BARANG TERJUAL'!$D$2:$D$974)</f>
        <v>10</v>
      </c>
      <c r="G106" s="3">
        <f>Katalog[[#This Row],[STOK AWAL]]+Katalog[[#This Row],[BARANG MASUK]]-Katalog[[#This Row],[BARANG TERJUAL]]</f>
        <v>75</v>
      </c>
      <c r="H106" s="4">
        <f>Katalog[[#This Row],[HARGA JUAL]]*Katalog[[#This Row],[BARANG TERJUAL]]</f>
        <v>500000</v>
      </c>
    </row>
    <row r="107" spans="2:8" x14ac:dyDescent="0.35">
      <c r="B107" s="2" t="s">
        <v>59</v>
      </c>
      <c r="C107" s="5">
        <v>35000</v>
      </c>
      <c r="D107" s="3">
        <v>21</v>
      </c>
      <c r="E107" s="3">
        <f>SUMIF('BARANG MASUK'!$C$2:$C$294,Katalog[[#This Row],[NAMA BARANG]],'BARANG MASUK'!$D$2:$D$294)</f>
        <v>20</v>
      </c>
      <c r="F107" s="3">
        <f>SUMIF('BARANG TERJUAL'!$C$2:$C$974,Katalog[[#This Row],[NAMA BARANG]],'BARANG TERJUAL'!$D$2:$D$974)</f>
        <v>6</v>
      </c>
      <c r="G107" s="3">
        <f>Katalog[[#This Row],[STOK AWAL]]+Katalog[[#This Row],[BARANG MASUK]]-Katalog[[#This Row],[BARANG TERJUAL]]</f>
        <v>35</v>
      </c>
      <c r="H107" s="4">
        <f>Katalog[[#This Row],[HARGA JUAL]]*Katalog[[#This Row],[BARANG TERJUAL]]</f>
        <v>210000</v>
      </c>
    </row>
    <row r="108" spans="2:8" x14ac:dyDescent="0.35">
      <c r="B108" s="9" t="s">
        <v>202</v>
      </c>
      <c r="C108" s="10">
        <v>4000</v>
      </c>
      <c r="D108" s="3">
        <v>30</v>
      </c>
      <c r="E108" s="3">
        <f>SUMIF('BARANG MASUK'!$C$2:$C$294,Katalog[[#This Row],[NAMA BARANG]],'BARANG MASUK'!$D$2:$D$294)</f>
        <v>60</v>
      </c>
      <c r="F108" s="3">
        <f>SUMIF('BARANG TERJUAL'!$C$2:$C$974,Katalog[[#This Row],[NAMA BARANG]],'BARANG TERJUAL'!$D$2:$D$974)</f>
        <v>18</v>
      </c>
      <c r="G108" s="8">
        <f>Katalog[[#This Row],[STOK AWAL]]+Katalog[[#This Row],[BARANG MASUK]]-Katalog[[#This Row],[BARANG TERJUAL]]</f>
        <v>72</v>
      </c>
      <c r="H108" s="4">
        <f>Katalog[[#This Row],[HARGA JUAL]]*Katalog[[#This Row],[BARANG TERJUAL]]</f>
        <v>72000</v>
      </c>
    </row>
    <row r="109" spans="2:8" x14ac:dyDescent="0.35">
      <c r="B109" s="9" t="s">
        <v>203</v>
      </c>
      <c r="C109" s="10">
        <v>7000</v>
      </c>
      <c r="D109" s="3">
        <v>35</v>
      </c>
      <c r="E109" s="3">
        <f>SUMIF('BARANG MASUK'!$C$2:$C$294,Katalog[[#This Row],[NAMA BARANG]],'BARANG MASUK'!$D$2:$D$294)</f>
        <v>60</v>
      </c>
      <c r="F109" s="3">
        <f>SUMIF('BARANG TERJUAL'!$C$2:$C$974,Katalog[[#This Row],[NAMA BARANG]],'BARANG TERJUAL'!$D$2:$D$974)</f>
        <v>23</v>
      </c>
      <c r="G109" s="8">
        <f>Katalog[[#This Row],[STOK AWAL]]+Katalog[[#This Row],[BARANG MASUK]]-Katalog[[#This Row],[BARANG TERJUAL]]</f>
        <v>72</v>
      </c>
      <c r="H109" s="4">
        <f>Katalog[[#This Row],[HARGA JUAL]]*Katalog[[#This Row],[BARANG TERJUAL]]</f>
        <v>161000</v>
      </c>
    </row>
    <row r="110" spans="2:8" x14ac:dyDescent="0.35">
      <c r="B110" s="9" t="s">
        <v>204</v>
      </c>
      <c r="C110" s="10">
        <v>15000</v>
      </c>
      <c r="D110" s="3">
        <v>22</v>
      </c>
      <c r="E110" s="3">
        <f>SUMIF('BARANG MASUK'!$C$2:$C$294,Katalog[[#This Row],[NAMA BARANG]],'BARANG MASUK'!$D$2:$D$294)</f>
        <v>60</v>
      </c>
      <c r="F110" s="3">
        <f>SUMIF('BARANG TERJUAL'!$C$2:$C$974,Katalog[[#This Row],[NAMA BARANG]],'BARANG TERJUAL'!$D$2:$D$974)</f>
        <v>16</v>
      </c>
      <c r="G110" s="8">
        <f>Katalog[[#This Row],[STOK AWAL]]+Katalog[[#This Row],[BARANG MASUK]]-Katalog[[#This Row],[BARANG TERJUAL]]</f>
        <v>66</v>
      </c>
      <c r="H110" s="4">
        <f>Katalog[[#This Row],[HARGA JUAL]]*Katalog[[#This Row],[BARANG TERJUAL]]</f>
        <v>240000</v>
      </c>
    </row>
    <row r="111" spans="2:8" x14ac:dyDescent="0.35">
      <c r="B111" s="9" t="s">
        <v>205</v>
      </c>
      <c r="C111" s="10">
        <v>15000</v>
      </c>
      <c r="D111" s="3">
        <v>32</v>
      </c>
      <c r="E111" s="3">
        <f>SUMIF('BARANG MASUK'!$C$2:$C$294,Katalog[[#This Row],[NAMA BARANG]],'BARANG MASUK'!$D$2:$D$294)</f>
        <v>60</v>
      </c>
      <c r="F111" s="3">
        <f>SUMIF('BARANG TERJUAL'!$C$2:$C$974,Katalog[[#This Row],[NAMA BARANG]],'BARANG TERJUAL'!$D$2:$D$974)</f>
        <v>31</v>
      </c>
      <c r="G111" s="8">
        <f>Katalog[[#This Row],[STOK AWAL]]+Katalog[[#This Row],[BARANG MASUK]]-Katalog[[#This Row],[BARANG TERJUAL]]</f>
        <v>61</v>
      </c>
      <c r="H111" s="4">
        <f>Katalog[[#This Row],[HARGA JUAL]]*Katalog[[#This Row],[BARANG TERJUAL]]</f>
        <v>465000</v>
      </c>
    </row>
    <row r="112" spans="2:8" x14ac:dyDescent="0.35">
      <c r="B112" s="9" t="s">
        <v>210</v>
      </c>
      <c r="C112" s="10">
        <v>11000</v>
      </c>
      <c r="D112" s="3">
        <v>15</v>
      </c>
      <c r="E112" s="3">
        <f>SUMIF('BARANG MASUK'!$C$2:$C$294,Katalog[[#This Row],[NAMA BARANG]],'BARANG MASUK'!$D$2:$D$294)</f>
        <v>60</v>
      </c>
      <c r="F112" s="3">
        <f>SUMIF('BARANG TERJUAL'!$C$2:$C$974,Katalog[[#This Row],[NAMA BARANG]],'BARANG TERJUAL'!$D$2:$D$974)</f>
        <v>23</v>
      </c>
      <c r="G112" s="8">
        <f>Katalog[[#This Row],[STOK AWAL]]+Katalog[[#This Row],[BARANG MASUK]]-Katalog[[#This Row],[BARANG TERJUAL]]</f>
        <v>52</v>
      </c>
      <c r="H112" s="4">
        <f>Katalog[[#This Row],[HARGA JUAL]]*Katalog[[#This Row],[BARANG TERJUAL]]</f>
        <v>253000</v>
      </c>
    </row>
    <row r="113" spans="2:8" x14ac:dyDescent="0.35">
      <c r="B113" s="9" t="s">
        <v>211</v>
      </c>
      <c r="C113" s="10">
        <v>15000</v>
      </c>
      <c r="D113" s="3">
        <v>42</v>
      </c>
      <c r="E113" s="3">
        <f>SUMIF('BARANG MASUK'!$C$2:$C$294,Katalog[[#This Row],[NAMA BARANG]],'BARANG MASUK'!$D$2:$D$294)</f>
        <v>60</v>
      </c>
      <c r="F113" s="3">
        <f>SUMIF('BARANG TERJUAL'!$C$2:$C$974,Katalog[[#This Row],[NAMA BARANG]],'BARANG TERJUAL'!$D$2:$D$974)</f>
        <v>11</v>
      </c>
      <c r="G113" s="8">
        <f>Katalog[[#This Row],[STOK AWAL]]+Katalog[[#This Row],[BARANG MASUK]]-Katalog[[#This Row],[BARANG TERJUAL]]</f>
        <v>91</v>
      </c>
      <c r="H113" s="4">
        <f>Katalog[[#This Row],[HARGA JUAL]]*Katalog[[#This Row],[BARANG TERJUAL]]</f>
        <v>165000</v>
      </c>
    </row>
    <row r="114" spans="2:8" x14ac:dyDescent="0.35">
      <c r="B114" s="9" t="s">
        <v>212</v>
      </c>
      <c r="C114" s="10">
        <v>18000</v>
      </c>
      <c r="D114" s="3">
        <v>20</v>
      </c>
      <c r="E114" s="3">
        <f>SUMIF('BARANG MASUK'!$C$2:$C$294,Katalog[[#This Row],[NAMA BARANG]],'BARANG MASUK'!$D$2:$D$294)</f>
        <v>60</v>
      </c>
      <c r="F114" s="3">
        <f>SUMIF('BARANG TERJUAL'!$C$2:$C$974,Katalog[[#This Row],[NAMA BARANG]],'BARANG TERJUAL'!$D$2:$D$974)</f>
        <v>17</v>
      </c>
      <c r="G114" s="8">
        <f>Katalog[[#This Row],[STOK AWAL]]+Katalog[[#This Row],[BARANG MASUK]]-Katalog[[#This Row],[BARANG TERJUAL]]</f>
        <v>63</v>
      </c>
      <c r="H114" s="4">
        <f>Katalog[[#This Row],[HARGA JUAL]]*Katalog[[#This Row],[BARANG TERJUAL]]</f>
        <v>306000</v>
      </c>
    </row>
    <row r="115" spans="2:8" x14ac:dyDescent="0.35">
      <c r="B115" s="9" t="s">
        <v>181</v>
      </c>
      <c r="C115" s="10">
        <v>3000</v>
      </c>
      <c r="D115" s="3">
        <v>26</v>
      </c>
      <c r="E115" s="3">
        <f>SUMIF('BARANG MASUK'!$C$2:$C$294,Katalog[[#This Row],[NAMA BARANG]],'BARANG MASUK'!$D$2:$D$294)</f>
        <v>50</v>
      </c>
      <c r="F115" s="3">
        <f>SUMIF('BARANG TERJUAL'!$C$2:$C$974,Katalog[[#This Row],[NAMA BARANG]],'BARANG TERJUAL'!$D$2:$D$974)</f>
        <v>12</v>
      </c>
      <c r="G115" s="8">
        <f>Katalog[[#This Row],[STOK AWAL]]+Katalog[[#This Row],[BARANG MASUK]]-Katalog[[#This Row],[BARANG TERJUAL]]</f>
        <v>64</v>
      </c>
      <c r="H115" s="4">
        <f>Katalog[[#This Row],[HARGA JUAL]]*Katalog[[#This Row],[BARANG TERJUAL]]</f>
        <v>36000</v>
      </c>
    </row>
    <row r="116" spans="2:8" x14ac:dyDescent="0.35">
      <c r="B116" s="9" t="s">
        <v>184</v>
      </c>
      <c r="C116" s="10">
        <v>2000</v>
      </c>
      <c r="D116" s="3">
        <v>34</v>
      </c>
      <c r="E116" s="3">
        <f>SUMIF('BARANG MASUK'!$C$2:$C$294,Katalog[[#This Row],[NAMA BARANG]],'BARANG MASUK'!$D$2:$D$294)</f>
        <v>40</v>
      </c>
      <c r="F116" s="3">
        <f>SUMIF('BARANG TERJUAL'!$C$2:$C$974,Katalog[[#This Row],[NAMA BARANG]],'BARANG TERJUAL'!$D$2:$D$974)</f>
        <v>8</v>
      </c>
      <c r="G116" s="8">
        <f>Katalog[[#This Row],[STOK AWAL]]+Katalog[[#This Row],[BARANG MASUK]]-Katalog[[#This Row],[BARANG TERJUAL]]</f>
        <v>66</v>
      </c>
      <c r="H116" s="4">
        <f>Katalog[[#This Row],[HARGA JUAL]]*Katalog[[#This Row],[BARANG TERJUAL]]</f>
        <v>16000</v>
      </c>
    </row>
    <row r="117" spans="2:8" x14ac:dyDescent="0.35">
      <c r="B117" s="9" t="s">
        <v>183</v>
      </c>
      <c r="C117" s="10">
        <v>5000</v>
      </c>
      <c r="D117" s="3">
        <v>22</v>
      </c>
      <c r="E117" s="3">
        <f>SUMIF('BARANG MASUK'!$C$2:$C$294,Katalog[[#This Row],[NAMA BARANG]],'BARANG MASUK'!$D$2:$D$294)</f>
        <v>40</v>
      </c>
      <c r="F117" s="3">
        <f>SUMIF('BARANG TERJUAL'!$C$2:$C$974,Katalog[[#This Row],[NAMA BARANG]],'BARANG TERJUAL'!$D$2:$D$974)</f>
        <v>9</v>
      </c>
      <c r="G117" s="8">
        <f>Katalog[[#This Row],[STOK AWAL]]+Katalog[[#This Row],[BARANG MASUK]]-Katalog[[#This Row],[BARANG TERJUAL]]</f>
        <v>53</v>
      </c>
      <c r="H117" s="4">
        <f>Katalog[[#This Row],[HARGA JUAL]]*Katalog[[#This Row],[BARANG TERJUAL]]</f>
        <v>45000</v>
      </c>
    </row>
    <row r="118" spans="2:8" x14ac:dyDescent="0.35">
      <c r="B118" s="9" t="s">
        <v>187</v>
      </c>
      <c r="C118" s="10">
        <v>11000</v>
      </c>
      <c r="D118" s="3">
        <v>18</v>
      </c>
      <c r="E118" s="3">
        <f>SUMIF('BARANG MASUK'!$C$2:$C$294,Katalog[[#This Row],[NAMA BARANG]],'BARANG MASUK'!$D$2:$D$294)</f>
        <v>60</v>
      </c>
      <c r="F118" s="3">
        <f>SUMIF('BARANG TERJUAL'!$C$2:$C$974,Katalog[[#This Row],[NAMA BARANG]],'BARANG TERJUAL'!$D$2:$D$974)</f>
        <v>8</v>
      </c>
      <c r="G118" s="8">
        <f>Katalog[[#This Row],[STOK AWAL]]+Katalog[[#This Row],[BARANG MASUK]]-Katalog[[#This Row],[BARANG TERJUAL]]</f>
        <v>70</v>
      </c>
      <c r="H118" s="4">
        <f>Katalog[[#This Row],[HARGA JUAL]]*Katalog[[#This Row],[BARANG TERJUAL]]</f>
        <v>88000</v>
      </c>
    </row>
    <row r="119" spans="2:8" x14ac:dyDescent="0.35">
      <c r="B119" s="9" t="s">
        <v>188</v>
      </c>
      <c r="C119" s="10">
        <v>9000</v>
      </c>
      <c r="D119" s="3">
        <v>14</v>
      </c>
      <c r="E119" s="3">
        <f>SUMIF('BARANG MASUK'!$C$2:$C$294,Katalog[[#This Row],[NAMA BARANG]],'BARANG MASUK'!$D$2:$D$294)</f>
        <v>60</v>
      </c>
      <c r="F119" s="3">
        <f>SUMIF('BARANG TERJUAL'!$C$2:$C$974,Katalog[[#This Row],[NAMA BARANG]],'BARANG TERJUAL'!$D$2:$D$974)</f>
        <v>9</v>
      </c>
      <c r="G119" s="8">
        <f>Katalog[[#This Row],[STOK AWAL]]+Katalog[[#This Row],[BARANG MASUK]]-Katalog[[#This Row],[BARANG TERJUAL]]</f>
        <v>65</v>
      </c>
      <c r="H119" s="4">
        <f>Katalog[[#This Row],[HARGA JUAL]]*Katalog[[#This Row],[BARANG TERJUAL]]</f>
        <v>81000</v>
      </c>
    </row>
    <row r="120" spans="2:8" x14ac:dyDescent="0.35">
      <c r="B120" s="9" t="s">
        <v>185</v>
      </c>
      <c r="C120" s="10">
        <v>12000</v>
      </c>
      <c r="D120" s="3">
        <v>15</v>
      </c>
      <c r="E120" s="3">
        <f>SUMIF('BARANG MASUK'!$C$2:$C$294,Katalog[[#This Row],[NAMA BARANG]],'BARANG MASUK'!$D$2:$D$294)</f>
        <v>60</v>
      </c>
      <c r="F120" s="3">
        <f>SUMIF('BARANG TERJUAL'!$C$2:$C$974,Katalog[[#This Row],[NAMA BARANG]],'BARANG TERJUAL'!$D$2:$D$974)</f>
        <v>10</v>
      </c>
      <c r="G120" s="8">
        <f>Katalog[[#This Row],[STOK AWAL]]+Katalog[[#This Row],[BARANG MASUK]]-Katalog[[#This Row],[BARANG TERJUAL]]</f>
        <v>65</v>
      </c>
      <c r="H120" s="4">
        <f>Katalog[[#This Row],[HARGA JUAL]]*Katalog[[#This Row],[BARANG TERJUAL]]</f>
        <v>120000</v>
      </c>
    </row>
    <row r="121" spans="2:8" x14ac:dyDescent="0.35">
      <c r="B121" s="9" t="s">
        <v>186</v>
      </c>
      <c r="C121" s="10">
        <v>15000</v>
      </c>
      <c r="D121" s="3">
        <v>10</v>
      </c>
      <c r="E121" s="3">
        <f>SUMIF('BARANG MASUK'!$C$2:$C$294,Katalog[[#This Row],[NAMA BARANG]],'BARANG MASUK'!$D$2:$D$294)</f>
        <v>50</v>
      </c>
      <c r="F121" s="3">
        <f>SUMIF('BARANG TERJUAL'!$C$2:$C$974,Katalog[[#This Row],[NAMA BARANG]],'BARANG TERJUAL'!$D$2:$D$974)</f>
        <v>11</v>
      </c>
      <c r="G121" s="8">
        <f>Katalog[[#This Row],[STOK AWAL]]+Katalog[[#This Row],[BARANG MASUK]]-Katalog[[#This Row],[BARANG TERJUAL]]</f>
        <v>49</v>
      </c>
      <c r="H121" s="4">
        <f>Katalog[[#This Row],[HARGA JUAL]]*Katalog[[#This Row],[BARANG TERJUAL]]</f>
        <v>165000</v>
      </c>
    </row>
    <row r="122" spans="2:8" x14ac:dyDescent="0.35">
      <c r="B122" s="9" t="s">
        <v>182</v>
      </c>
      <c r="C122" s="10">
        <v>9000</v>
      </c>
      <c r="D122" s="3">
        <v>30</v>
      </c>
      <c r="E122" s="3">
        <f>SUMIF('BARANG MASUK'!$C$2:$C$294,Katalog[[#This Row],[NAMA BARANG]],'BARANG MASUK'!$D$2:$D$294)</f>
        <v>250</v>
      </c>
      <c r="F122" s="3">
        <f>SUMIF('BARANG TERJUAL'!$C$2:$C$974,Katalog[[#This Row],[NAMA BARANG]],'BARANG TERJUAL'!$D$2:$D$974)</f>
        <v>11</v>
      </c>
      <c r="G122" s="8">
        <f>Katalog[[#This Row],[STOK AWAL]]+Katalog[[#This Row],[BARANG MASUK]]-Katalog[[#This Row],[BARANG TERJUAL]]</f>
        <v>269</v>
      </c>
      <c r="H122" s="4">
        <f>Katalog[[#This Row],[HARGA JUAL]]*Katalog[[#This Row],[BARANG TERJUAL]]</f>
        <v>99000</v>
      </c>
    </row>
    <row r="123" spans="2:8" x14ac:dyDescent="0.35">
      <c r="B123" s="9" t="s">
        <v>191</v>
      </c>
      <c r="C123" s="10">
        <v>5000</v>
      </c>
      <c r="D123" s="3">
        <v>22</v>
      </c>
      <c r="E123" s="3">
        <f>SUMIF('BARANG MASUK'!$C$2:$C$294,Katalog[[#This Row],[NAMA BARANG]],'BARANG MASUK'!$D$2:$D$294)</f>
        <v>60</v>
      </c>
      <c r="F123" s="3">
        <f>SUMIF('BARANG TERJUAL'!$C$2:$C$974,Katalog[[#This Row],[NAMA BARANG]],'BARANG TERJUAL'!$D$2:$D$974)</f>
        <v>5</v>
      </c>
      <c r="G123" s="8">
        <f>Katalog[[#This Row],[STOK AWAL]]+Katalog[[#This Row],[BARANG MASUK]]-Katalog[[#This Row],[BARANG TERJUAL]]</f>
        <v>77</v>
      </c>
      <c r="H123" s="4">
        <f>Katalog[[#This Row],[HARGA JUAL]]*Katalog[[#This Row],[BARANG TERJUAL]]</f>
        <v>25000</v>
      </c>
    </row>
    <row r="124" spans="2:8" x14ac:dyDescent="0.35">
      <c r="B124" s="9" t="s">
        <v>192</v>
      </c>
      <c r="C124" s="10">
        <v>3000</v>
      </c>
      <c r="D124" s="3">
        <v>32</v>
      </c>
      <c r="E124" s="3">
        <f>SUMIF('BARANG MASUK'!$C$2:$C$294,Katalog[[#This Row],[NAMA BARANG]],'BARANG MASUK'!$D$2:$D$294)</f>
        <v>60</v>
      </c>
      <c r="F124" s="3">
        <f>SUMIF('BARANG TERJUAL'!$C$2:$C$974,Katalog[[#This Row],[NAMA BARANG]],'BARANG TERJUAL'!$D$2:$D$974)</f>
        <v>18</v>
      </c>
      <c r="G124" s="8">
        <f>Katalog[[#This Row],[STOK AWAL]]+Katalog[[#This Row],[BARANG MASUK]]-Katalog[[#This Row],[BARANG TERJUAL]]</f>
        <v>74</v>
      </c>
      <c r="H124" s="4">
        <f>Katalog[[#This Row],[HARGA JUAL]]*Katalog[[#This Row],[BARANG TERJUAL]]</f>
        <v>54000</v>
      </c>
    </row>
    <row r="125" spans="2:8" x14ac:dyDescent="0.35">
      <c r="B125" s="9" t="s">
        <v>189</v>
      </c>
      <c r="C125" s="10">
        <v>5000</v>
      </c>
      <c r="D125" s="3">
        <v>20</v>
      </c>
      <c r="E125" s="3">
        <f>SUMIF('BARANG MASUK'!$C$2:$C$294,Katalog[[#This Row],[NAMA BARANG]],'BARANG MASUK'!$D$2:$D$294)</f>
        <v>60</v>
      </c>
      <c r="F125" s="3">
        <f>SUMIF('BARANG TERJUAL'!$C$2:$C$974,Katalog[[#This Row],[NAMA BARANG]],'BARANG TERJUAL'!$D$2:$D$974)</f>
        <v>8</v>
      </c>
      <c r="G125" s="8">
        <f>Katalog[[#This Row],[STOK AWAL]]+Katalog[[#This Row],[BARANG MASUK]]-Katalog[[#This Row],[BARANG TERJUAL]]</f>
        <v>72</v>
      </c>
      <c r="H125" s="4">
        <f>Katalog[[#This Row],[HARGA JUAL]]*Katalog[[#This Row],[BARANG TERJUAL]]</f>
        <v>40000</v>
      </c>
    </row>
    <row r="126" spans="2:8" x14ac:dyDescent="0.35">
      <c r="B126" s="9" t="s">
        <v>190</v>
      </c>
      <c r="C126" s="10">
        <v>3000</v>
      </c>
      <c r="D126" s="3">
        <v>32</v>
      </c>
      <c r="E126" s="3">
        <f>SUMIF('BARANG MASUK'!$C$2:$C$294,Katalog[[#This Row],[NAMA BARANG]],'BARANG MASUK'!$D$2:$D$294)</f>
        <v>60</v>
      </c>
      <c r="F126" s="3">
        <f>SUMIF('BARANG TERJUAL'!$C$2:$C$974,Katalog[[#This Row],[NAMA BARANG]],'BARANG TERJUAL'!$D$2:$D$974)</f>
        <v>21</v>
      </c>
      <c r="G126" s="8">
        <f>Katalog[[#This Row],[STOK AWAL]]+Katalog[[#This Row],[BARANG MASUK]]-Katalog[[#This Row],[BARANG TERJUAL]]</f>
        <v>71</v>
      </c>
      <c r="H126" s="4">
        <f>Katalog[[#This Row],[HARGA JUAL]]*Katalog[[#This Row],[BARANG TERJUAL]]</f>
        <v>63000</v>
      </c>
    </row>
    <row r="127" spans="2:8" x14ac:dyDescent="0.35">
      <c r="B127" s="9" t="s">
        <v>179</v>
      </c>
      <c r="C127" s="10">
        <v>15000</v>
      </c>
      <c r="D127" s="3">
        <v>18</v>
      </c>
      <c r="E127" s="3">
        <f>SUMIF('BARANG MASUK'!$C$2:$C$294,Katalog[[#This Row],[NAMA BARANG]],'BARANG MASUK'!$D$2:$D$294)</f>
        <v>300</v>
      </c>
      <c r="F127" s="3">
        <f>SUMIF('BARANG TERJUAL'!$C$2:$C$974,Katalog[[#This Row],[NAMA BARANG]],'BARANG TERJUAL'!$D$2:$D$974)</f>
        <v>19</v>
      </c>
      <c r="G127" s="8">
        <f>Katalog[[#This Row],[STOK AWAL]]+Katalog[[#This Row],[BARANG MASUK]]-Katalog[[#This Row],[BARANG TERJUAL]]</f>
        <v>299</v>
      </c>
      <c r="H127" s="4">
        <f>Katalog[[#This Row],[HARGA JUAL]]*Katalog[[#This Row],[BARANG TERJUAL]]</f>
        <v>285000</v>
      </c>
    </row>
    <row r="128" spans="2:8" x14ac:dyDescent="0.35">
      <c r="B128" s="9" t="s">
        <v>180</v>
      </c>
      <c r="C128" s="10">
        <v>1500</v>
      </c>
      <c r="D128" s="3">
        <v>32</v>
      </c>
      <c r="E128" s="3">
        <f>SUMIF('BARANG MASUK'!$C$2:$C$294,Katalog[[#This Row],[NAMA BARANG]],'BARANG MASUK'!$D$2:$D$294)</f>
        <v>0</v>
      </c>
      <c r="F128" s="3">
        <f>SUMIF('BARANG TERJUAL'!$C$2:$C$974,Katalog[[#This Row],[NAMA BARANG]],'BARANG TERJUAL'!$D$2:$D$974)</f>
        <v>15</v>
      </c>
      <c r="G128" s="8">
        <f>Katalog[[#This Row],[STOK AWAL]]+Katalog[[#This Row],[BARANG MASUK]]-Katalog[[#This Row],[BARANG TERJUAL]]</f>
        <v>17</v>
      </c>
      <c r="H128" s="4">
        <f>Katalog[[#This Row],[HARGA JUAL]]*Katalog[[#This Row],[BARANG TERJUAL]]</f>
        <v>22500</v>
      </c>
    </row>
    <row r="129" spans="2:8" x14ac:dyDescent="0.35">
      <c r="B129" s="2" t="s">
        <v>74</v>
      </c>
      <c r="C129" s="5">
        <v>10000</v>
      </c>
      <c r="D129" s="3">
        <v>42</v>
      </c>
      <c r="E129" s="3">
        <f>SUMIF('BARANG MASUK'!$C$2:$C$294,Katalog[[#This Row],[NAMA BARANG]],'BARANG MASUK'!$D$2:$D$294)</f>
        <v>20</v>
      </c>
      <c r="F129" s="3">
        <f>SUMIF('BARANG TERJUAL'!$C$2:$C$974,Katalog[[#This Row],[NAMA BARANG]],'BARANG TERJUAL'!$D$2:$D$974)</f>
        <v>40</v>
      </c>
      <c r="G129" s="3">
        <f>Katalog[[#This Row],[STOK AWAL]]+Katalog[[#This Row],[BARANG MASUK]]-Katalog[[#This Row],[BARANG TERJUAL]]</f>
        <v>22</v>
      </c>
      <c r="H129" s="4">
        <f>Katalog[[#This Row],[HARGA JUAL]]*Katalog[[#This Row],[BARANG TERJUAL]]</f>
        <v>400000</v>
      </c>
    </row>
    <row r="130" spans="2:8" x14ac:dyDescent="0.35">
      <c r="B130" s="2" t="s">
        <v>71</v>
      </c>
      <c r="C130" s="5">
        <v>5000</v>
      </c>
      <c r="D130" s="3">
        <v>42</v>
      </c>
      <c r="E130" s="3">
        <f>SUMIF('BARANG MASUK'!$C$2:$C$294,Katalog[[#This Row],[NAMA BARANG]],'BARANG MASUK'!$D$2:$D$294)</f>
        <v>60</v>
      </c>
      <c r="F130" s="3">
        <f>SUMIF('BARANG TERJUAL'!$C$2:$C$974,Katalog[[#This Row],[NAMA BARANG]],'BARANG TERJUAL'!$D$2:$D$974)</f>
        <v>49</v>
      </c>
      <c r="G130" s="3">
        <f>Katalog[[#This Row],[STOK AWAL]]+Katalog[[#This Row],[BARANG MASUK]]-Katalog[[#This Row],[BARANG TERJUAL]]</f>
        <v>53</v>
      </c>
      <c r="H130" s="4">
        <f>Katalog[[#This Row],[HARGA JUAL]]*Katalog[[#This Row],[BARANG TERJUAL]]</f>
        <v>245000</v>
      </c>
    </row>
    <row r="131" spans="2:8" x14ac:dyDescent="0.35">
      <c r="B131" s="2" t="s">
        <v>72</v>
      </c>
      <c r="C131" s="5">
        <v>4000</v>
      </c>
      <c r="D131" s="3">
        <v>49</v>
      </c>
      <c r="E131" s="3">
        <f>SUMIF('BARANG MASUK'!$C$2:$C$294,Katalog[[#This Row],[NAMA BARANG]],'BARANG MASUK'!$D$2:$D$294)</f>
        <v>60</v>
      </c>
      <c r="F131" s="3">
        <f>SUMIF('BARANG TERJUAL'!$C$2:$C$974,Katalog[[#This Row],[NAMA BARANG]],'BARANG TERJUAL'!$D$2:$D$974)</f>
        <v>50</v>
      </c>
      <c r="G131" s="3">
        <f>Katalog[[#This Row],[STOK AWAL]]+Katalog[[#This Row],[BARANG MASUK]]-Katalog[[#This Row],[BARANG TERJUAL]]</f>
        <v>59</v>
      </c>
      <c r="H131" s="4">
        <f>Katalog[[#This Row],[HARGA JUAL]]*Katalog[[#This Row],[BARANG TERJUAL]]</f>
        <v>200000</v>
      </c>
    </row>
    <row r="132" spans="2:8" x14ac:dyDescent="0.35">
      <c r="B132" s="2" t="s">
        <v>76</v>
      </c>
      <c r="C132" s="5">
        <v>10000</v>
      </c>
      <c r="D132" s="3">
        <v>43</v>
      </c>
      <c r="E132" s="3">
        <f>SUMIF('BARANG MASUK'!$C$2:$C$294,Katalog[[#This Row],[NAMA BARANG]],'BARANG MASUK'!$D$2:$D$294)</f>
        <v>60</v>
      </c>
      <c r="F132" s="3">
        <f>SUMIF('BARANG TERJUAL'!$C$2:$C$974,Katalog[[#This Row],[NAMA BARANG]],'BARANG TERJUAL'!$D$2:$D$974)</f>
        <v>48</v>
      </c>
      <c r="G132" s="3">
        <f>Katalog[[#This Row],[STOK AWAL]]+Katalog[[#This Row],[BARANG MASUK]]-Katalog[[#This Row],[BARANG TERJUAL]]</f>
        <v>55</v>
      </c>
      <c r="H132" s="4">
        <f>Katalog[[#This Row],[HARGA JUAL]]*Katalog[[#This Row],[BARANG TERJUAL]]</f>
        <v>480000</v>
      </c>
    </row>
    <row r="133" spans="2:8" x14ac:dyDescent="0.35">
      <c r="B133" s="9" t="s">
        <v>145</v>
      </c>
      <c r="C133" s="10">
        <v>35000</v>
      </c>
      <c r="D133" s="3">
        <v>7</v>
      </c>
      <c r="E133" s="3">
        <f>SUMIF('BARANG MASUK'!$C$2:$C$294,Katalog[[#This Row],[NAMA BARANG]],'BARANG MASUK'!$D$2:$D$294)</f>
        <v>100</v>
      </c>
      <c r="F133" s="3">
        <f>SUMIF('BARANG TERJUAL'!$C$2:$C$974,Katalog[[#This Row],[NAMA BARANG]],'BARANG TERJUAL'!$D$2:$D$974)</f>
        <v>4</v>
      </c>
      <c r="G133" s="8">
        <f>Katalog[[#This Row],[STOK AWAL]]+Katalog[[#This Row],[BARANG MASUK]]-Katalog[[#This Row],[BARANG TERJUAL]]</f>
        <v>103</v>
      </c>
      <c r="H133" s="4">
        <f>Katalog[[#This Row],[HARGA JUAL]]*Katalog[[#This Row],[BARANG TERJUAL]]</f>
        <v>140000</v>
      </c>
    </row>
    <row r="134" spans="2:8" x14ac:dyDescent="0.35">
      <c r="B134" s="9" t="s">
        <v>146</v>
      </c>
      <c r="C134" s="10">
        <v>3500</v>
      </c>
      <c r="D134" s="3">
        <v>22</v>
      </c>
      <c r="E134" s="3">
        <f>SUMIF('BARANG MASUK'!$C$2:$C$294,Katalog[[#This Row],[NAMA BARANG]],'BARANG MASUK'!$D$2:$D$294)</f>
        <v>0</v>
      </c>
      <c r="F134" s="3">
        <f>SUMIF('BARANG TERJUAL'!$C$2:$C$974,Katalog[[#This Row],[NAMA BARANG]],'BARANG TERJUAL'!$D$2:$D$974)</f>
        <v>12</v>
      </c>
      <c r="G134" s="8">
        <f>Katalog[[#This Row],[STOK AWAL]]+Katalog[[#This Row],[BARANG MASUK]]-Katalog[[#This Row],[BARANG TERJUAL]]</f>
        <v>10</v>
      </c>
      <c r="H134" s="4">
        <f>Katalog[[#This Row],[HARGA JUAL]]*Katalog[[#This Row],[BARANG TERJUAL]]</f>
        <v>42000</v>
      </c>
    </row>
    <row r="135" spans="2:8" x14ac:dyDescent="0.35">
      <c r="B135" s="9" t="s">
        <v>143</v>
      </c>
      <c r="C135" s="10">
        <v>30000</v>
      </c>
      <c r="D135" s="3">
        <v>9</v>
      </c>
      <c r="E135" s="3">
        <f>SUMIF('BARANG MASUK'!$C$2:$C$294,Katalog[[#This Row],[NAMA BARANG]],'BARANG MASUK'!$D$2:$D$294)</f>
        <v>50</v>
      </c>
      <c r="F135" s="3">
        <f>SUMIF('BARANG TERJUAL'!$C$2:$C$974,Katalog[[#This Row],[NAMA BARANG]],'BARANG TERJUAL'!$D$2:$D$974)</f>
        <v>5</v>
      </c>
      <c r="G135" s="8">
        <f>Katalog[[#This Row],[STOK AWAL]]+Katalog[[#This Row],[BARANG MASUK]]-Katalog[[#This Row],[BARANG TERJUAL]]</f>
        <v>54</v>
      </c>
      <c r="H135" s="4">
        <f>Katalog[[#This Row],[HARGA JUAL]]*Katalog[[#This Row],[BARANG TERJUAL]]</f>
        <v>150000</v>
      </c>
    </row>
    <row r="136" spans="2:8" x14ac:dyDescent="0.35">
      <c r="B136" s="9" t="s">
        <v>144</v>
      </c>
      <c r="C136" s="10">
        <v>3000</v>
      </c>
      <c r="D136" s="3">
        <v>13</v>
      </c>
      <c r="E136" s="3">
        <f>SUMIF('BARANG MASUK'!$C$2:$C$294,Katalog[[#This Row],[NAMA BARANG]],'BARANG MASUK'!$D$2:$D$294)</f>
        <v>0</v>
      </c>
      <c r="F136" s="3">
        <f>SUMIF('BARANG TERJUAL'!$C$2:$C$974,Katalog[[#This Row],[NAMA BARANG]],'BARANG TERJUAL'!$D$2:$D$974)</f>
        <v>9</v>
      </c>
      <c r="G136" s="8">
        <f>Katalog[[#This Row],[STOK AWAL]]+Katalog[[#This Row],[BARANG MASUK]]-Katalog[[#This Row],[BARANG TERJUAL]]</f>
        <v>4</v>
      </c>
      <c r="H136" s="4">
        <f>Katalog[[#This Row],[HARGA JUAL]]*Katalog[[#This Row],[BARANG TERJUAL]]</f>
        <v>27000</v>
      </c>
    </row>
    <row r="137" spans="2:8" x14ac:dyDescent="0.35">
      <c r="B137" s="9" t="s">
        <v>141</v>
      </c>
      <c r="C137" s="10">
        <v>250000</v>
      </c>
      <c r="D137" s="3">
        <v>10</v>
      </c>
      <c r="E137" s="3">
        <f>SUMIF('BARANG MASUK'!$C$2:$C$294,Katalog[[#This Row],[NAMA BARANG]],'BARANG MASUK'!$D$2:$D$294)</f>
        <v>30</v>
      </c>
      <c r="F137" s="3">
        <f>SUMIF('BARANG TERJUAL'!$C$2:$C$974,Katalog[[#This Row],[NAMA BARANG]],'BARANG TERJUAL'!$D$2:$D$974)</f>
        <v>4</v>
      </c>
      <c r="G137" s="8">
        <f>Katalog[[#This Row],[STOK AWAL]]+Katalog[[#This Row],[BARANG MASUK]]-Katalog[[#This Row],[BARANG TERJUAL]]</f>
        <v>36</v>
      </c>
      <c r="H137" s="4">
        <f>Katalog[[#This Row],[HARGA JUAL]]*Katalog[[#This Row],[BARANG TERJUAL]]</f>
        <v>1000000</v>
      </c>
    </row>
    <row r="138" spans="2:8" x14ac:dyDescent="0.35">
      <c r="B138" s="9" t="s">
        <v>142</v>
      </c>
      <c r="C138" s="10">
        <v>27000</v>
      </c>
      <c r="D138" s="3">
        <v>15</v>
      </c>
      <c r="E138" s="3">
        <f>SUMIF('BARANG MASUK'!$C$2:$C$294,Katalog[[#This Row],[NAMA BARANG]],'BARANG MASUK'!$D$2:$D$294)</f>
        <v>0</v>
      </c>
      <c r="F138" s="3">
        <f>SUMIF('BARANG TERJUAL'!$C$2:$C$974,Katalog[[#This Row],[NAMA BARANG]],'BARANG TERJUAL'!$D$2:$D$974)</f>
        <v>7</v>
      </c>
      <c r="G138" s="8">
        <f>Katalog[[#This Row],[STOK AWAL]]+Katalog[[#This Row],[BARANG MASUK]]-Katalog[[#This Row],[BARANG TERJUAL]]</f>
        <v>8</v>
      </c>
      <c r="H138" s="4">
        <f>Katalog[[#This Row],[HARGA JUAL]]*Katalog[[#This Row],[BARANG TERJUAL]]</f>
        <v>189000</v>
      </c>
    </row>
    <row r="139" spans="2:8" x14ac:dyDescent="0.35">
      <c r="B139" s="9" t="s">
        <v>139</v>
      </c>
      <c r="C139" s="10">
        <v>50000</v>
      </c>
      <c r="D139" s="3">
        <v>11</v>
      </c>
      <c r="E139" s="3">
        <f>SUMIF('BARANG MASUK'!$C$2:$C$294,Katalog[[#This Row],[NAMA BARANG]],'BARANG MASUK'!$D$2:$D$294)</f>
        <v>100</v>
      </c>
      <c r="F139" s="3">
        <f>SUMIF('BARANG TERJUAL'!$C$2:$C$974,Katalog[[#This Row],[NAMA BARANG]],'BARANG TERJUAL'!$D$2:$D$974)</f>
        <v>5</v>
      </c>
      <c r="G139" s="8">
        <f>Katalog[[#This Row],[STOK AWAL]]+Katalog[[#This Row],[BARANG MASUK]]-Katalog[[#This Row],[BARANG TERJUAL]]</f>
        <v>106</v>
      </c>
      <c r="H139" s="4">
        <f>Katalog[[#This Row],[HARGA JUAL]]*Katalog[[#This Row],[BARANG TERJUAL]]</f>
        <v>250000</v>
      </c>
    </row>
    <row r="140" spans="2:8" x14ac:dyDescent="0.35">
      <c r="B140" s="9" t="s">
        <v>140</v>
      </c>
      <c r="C140" s="10">
        <v>6000</v>
      </c>
      <c r="D140" s="3">
        <v>21</v>
      </c>
      <c r="E140" s="3">
        <f>SUMIF('BARANG MASUK'!$C$2:$C$294,Katalog[[#This Row],[NAMA BARANG]],'BARANG MASUK'!$D$2:$D$294)</f>
        <v>0</v>
      </c>
      <c r="F140" s="3">
        <f>SUMIF('BARANG TERJUAL'!$C$2:$C$974,Katalog[[#This Row],[NAMA BARANG]],'BARANG TERJUAL'!$D$2:$D$974)</f>
        <v>8</v>
      </c>
      <c r="G140" s="8">
        <f>Katalog[[#This Row],[STOK AWAL]]+Katalog[[#This Row],[BARANG MASUK]]-Katalog[[#This Row],[BARANG TERJUAL]]</f>
        <v>13</v>
      </c>
      <c r="H140" s="4">
        <f>Katalog[[#This Row],[HARGA JUAL]]*Katalog[[#This Row],[BARANG TERJUAL]]</f>
        <v>48000</v>
      </c>
    </row>
    <row r="141" spans="2:8" x14ac:dyDescent="0.35">
      <c r="B141" s="9" t="s">
        <v>147</v>
      </c>
      <c r="C141" s="10">
        <v>30000</v>
      </c>
      <c r="D141" s="3">
        <v>9</v>
      </c>
      <c r="E141" s="3">
        <f>SUMIF('BARANG MASUK'!$C$2:$C$294,Katalog[[#This Row],[NAMA BARANG]],'BARANG MASUK'!$D$2:$D$294)</f>
        <v>100</v>
      </c>
      <c r="F141" s="3">
        <f>SUMIF('BARANG TERJUAL'!$C$2:$C$974,Katalog[[#This Row],[NAMA BARANG]],'BARANG TERJUAL'!$D$2:$D$974)</f>
        <v>4</v>
      </c>
      <c r="G141" s="8">
        <f>Katalog[[#This Row],[STOK AWAL]]+Katalog[[#This Row],[BARANG MASUK]]-Katalog[[#This Row],[BARANG TERJUAL]]</f>
        <v>105</v>
      </c>
      <c r="H141" s="4">
        <f>Katalog[[#This Row],[HARGA JUAL]]*Katalog[[#This Row],[BARANG TERJUAL]]</f>
        <v>120000</v>
      </c>
    </row>
    <row r="142" spans="2:8" x14ac:dyDescent="0.35">
      <c r="B142" s="9" t="s">
        <v>148</v>
      </c>
      <c r="C142" s="10">
        <v>3000</v>
      </c>
      <c r="D142" s="3">
        <v>20</v>
      </c>
      <c r="E142" s="3">
        <f>SUMIF('BARANG MASUK'!$C$2:$C$294,Katalog[[#This Row],[NAMA BARANG]],'BARANG MASUK'!$D$2:$D$294)</f>
        <v>0</v>
      </c>
      <c r="F142" s="3">
        <f>SUMIF('BARANG TERJUAL'!$C$2:$C$974,Katalog[[#This Row],[NAMA BARANG]],'BARANG TERJUAL'!$D$2:$D$974)</f>
        <v>14</v>
      </c>
      <c r="G142" s="8">
        <f>Katalog[[#This Row],[STOK AWAL]]+Katalog[[#This Row],[BARANG MASUK]]-Katalog[[#This Row],[BARANG TERJUAL]]</f>
        <v>6</v>
      </c>
      <c r="H142" s="4">
        <f>Katalog[[#This Row],[HARGA JUAL]]*Katalog[[#This Row],[BARANG TERJUAL]]</f>
        <v>42000</v>
      </c>
    </row>
    <row r="143" spans="2:8" x14ac:dyDescent="0.35">
      <c r="B143" s="9" t="s">
        <v>165</v>
      </c>
      <c r="C143" s="10">
        <v>15000</v>
      </c>
      <c r="D143" s="3">
        <v>53</v>
      </c>
      <c r="E143" s="3">
        <f>SUMIF('BARANG MASUK'!$C$2:$C$294,Katalog[[#This Row],[NAMA BARANG]],'BARANG MASUK'!$D$2:$D$294)</f>
        <v>50</v>
      </c>
      <c r="F143" s="3">
        <f>SUMIF('BARANG TERJUAL'!$C$2:$C$974,Katalog[[#This Row],[NAMA BARANG]],'BARANG TERJUAL'!$D$2:$D$974)</f>
        <v>13</v>
      </c>
      <c r="G143" s="8">
        <f>Katalog[[#This Row],[STOK AWAL]]+Katalog[[#This Row],[BARANG MASUK]]-Katalog[[#This Row],[BARANG TERJUAL]]</f>
        <v>90</v>
      </c>
      <c r="H143" s="4">
        <f>Katalog[[#This Row],[HARGA JUAL]]*Katalog[[#This Row],[BARANG TERJUAL]]</f>
        <v>195000</v>
      </c>
    </row>
    <row r="144" spans="2:8" x14ac:dyDescent="0.35">
      <c r="B144" s="9" t="s">
        <v>153</v>
      </c>
      <c r="C144" s="10">
        <v>35000</v>
      </c>
      <c r="D144" s="3">
        <v>6</v>
      </c>
      <c r="E144" s="3">
        <f>SUMIF('BARANG MASUK'!$C$2:$C$294,Katalog[[#This Row],[NAMA BARANG]],'BARANG MASUK'!$D$2:$D$294)</f>
        <v>100</v>
      </c>
      <c r="F144" s="3">
        <f>SUMIF('BARANG TERJUAL'!$C$2:$C$974,Katalog[[#This Row],[NAMA BARANG]],'BARANG TERJUAL'!$D$2:$D$974)</f>
        <v>5</v>
      </c>
      <c r="G144" s="8">
        <f>Katalog[[#This Row],[STOK AWAL]]+Katalog[[#This Row],[BARANG MASUK]]-Katalog[[#This Row],[BARANG TERJUAL]]</f>
        <v>101</v>
      </c>
      <c r="H144" s="4">
        <f>Katalog[[#This Row],[HARGA JUAL]]*Katalog[[#This Row],[BARANG TERJUAL]]</f>
        <v>175000</v>
      </c>
    </row>
    <row r="145" spans="2:8" x14ac:dyDescent="0.35">
      <c r="B145" s="9" t="s">
        <v>154</v>
      </c>
      <c r="C145" s="10">
        <v>3000</v>
      </c>
      <c r="D145" s="3">
        <v>16</v>
      </c>
      <c r="E145" s="3">
        <f>SUMIF('BARANG MASUK'!$C$2:$C$294,Katalog[[#This Row],[NAMA BARANG]],'BARANG MASUK'!$D$2:$D$294)</f>
        <v>0</v>
      </c>
      <c r="F145" s="3">
        <f>SUMIF('BARANG TERJUAL'!$C$2:$C$974,Katalog[[#This Row],[NAMA BARANG]],'BARANG TERJUAL'!$D$2:$D$974)</f>
        <v>14</v>
      </c>
      <c r="G145" s="8">
        <f>Katalog[[#This Row],[STOK AWAL]]+Katalog[[#This Row],[BARANG MASUK]]-Katalog[[#This Row],[BARANG TERJUAL]]</f>
        <v>2</v>
      </c>
      <c r="H145" s="4">
        <f>Katalog[[#This Row],[HARGA JUAL]]*Katalog[[#This Row],[BARANG TERJUAL]]</f>
        <v>42000</v>
      </c>
    </row>
    <row r="146" spans="2:8" x14ac:dyDescent="0.35">
      <c r="B146" s="9" t="s">
        <v>155</v>
      </c>
      <c r="C146" s="10">
        <v>75000</v>
      </c>
      <c r="D146" s="3">
        <v>4</v>
      </c>
      <c r="E146" s="3">
        <f>SUMIF('BARANG MASUK'!$C$2:$C$294,Katalog[[#This Row],[NAMA BARANG]],'BARANG MASUK'!$D$2:$D$294)</f>
        <v>50</v>
      </c>
      <c r="F146" s="3">
        <f>SUMIF('BARANG TERJUAL'!$C$2:$C$974,Katalog[[#This Row],[NAMA BARANG]],'BARANG TERJUAL'!$D$2:$D$974)</f>
        <v>4</v>
      </c>
      <c r="G146" s="8">
        <f>Katalog[[#This Row],[STOK AWAL]]+Katalog[[#This Row],[BARANG MASUK]]-Katalog[[#This Row],[BARANG TERJUAL]]</f>
        <v>50</v>
      </c>
      <c r="H146" s="4">
        <f>Katalog[[#This Row],[HARGA JUAL]]*Katalog[[#This Row],[BARANG TERJUAL]]</f>
        <v>300000</v>
      </c>
    </row>
    <row r="147" spans="2:8" x14ac:dyDescent="0.35">
      <c r="B147" s="9" t="s">
        <v>156</v>
      </c>
      <c r="C147" s="10">
        <v>7000</v>
      </c>
      <c r="D147" s="3">
        <v>21</v>
      </c>
      <c r="E147" s="3">
        <f>SUMIF('BARANG MASUK'!$C$2:$C$294,Katalog[[#This Row],[NAMA BARANG]],'BARANG MASUK'!$D$2:$D$294)</f>
        <v>0</v>
      </c>
      <c r="F147" s="3">
        <f>SUMIF('BARANG TERJUAL'!$C$2:$C$974,Katalog[[#This Row],[NAMA BARANG]],'BARANG TERJUAL'!$D$2:$D$974)</f>
        <v>10</v>
      </c>
      <c r="G147" s="8">
        <f>Katalog[[#This Row],[STOK AWAL]]+Katalog[[#This Row],[BARANG MASUK]]-Katalog[[#This Row],[BARANG TERJUAL]]</f>
        <v>11</v>
      </c>
      <c r="H147" s="4">
        <f>Katalog[[#This Row],[HARGA JUAL]]*Katalog[[#This Row],[BARANG TERJUAL]]</f>
        <v>70000</v>
      </c>
    </row>
    <row r="148" spans="2:8" x14ac:dyDescent="0.35">
      <c r="B148" s="9" t="s">
        <v>137</v>
      </c>
      <c r="C148" s="10">
        <v>18000</v>
      </c>
      <c r="D148" s="3">
        <v>10</v>
      </c>
      <c r="E148" s="3">
        <f>SUMIF('BARANG MASUK'!$C$2:$C$294,Katalog[[#This Row],[NAMA BARANG]],'BARANG MASUK'!$D$2:$D$294)</f>
        <v>100</v>
      </c>
      <c r="F148" s="3">
        <f>SUMIF('BARANG TERJUAL'!$C$2:$C$974,Katalog[[#This Row],[NAMA BARANG]],'BARANG TERJUAL'!$D$2:$D$974)</f>
        <v>6</v>
      </c>
      <c r="G148" s="8">
        <f>Katalog[[#This Row],[STOK AWAL]]+Katalog[[#This Row],[BARANG MASUK]]-Katalog[[#This Row],[BARANG TERJUAL]]</f>
        <v>104</v>
      </c>
      <c r="H148" s="4">
        <f>Katalog[[#This Row],[HARGA JUAL]]*Katalog[[#This Row],[BARANG TERJUAL]]</f>
        <v>108000</v>
      </c>
    </row>
    <row r="149" spans="2:8" x14ac:dyDescent="0.35">
      <c r="B149" s="9" t="s">
        <v>138</v>
      </c>
      <c r="C149" s="10">
        <v>2000</v>
      </c>
      <c r="D149" s="3">
        <v>25</v>
      </c>
      <c r="E149" s="3">
        <f>SUMIF('BARANG MASUK'!$C$2:$C$294,Katalog[[#This Row],[NAMA BARANG]],'BARANG MASUK'!$D$2:$D$294)</f>
        <v>0</v>
      </c>
      <c r="F149" s="3">
        <f>SUMIF('BARANG TERJUAL'!$C$2:$C$974,Katalog[[#This Row],[NAMA BARANG]],'BARANG TERJUAL'!$D$2:$D$974)</f>
        <v>9</v>
      </c>
      <c r="G149" s="8">
        <f>Katalog[[#This Row],[STOK AWAL]]+Katalog[[#This Row],[BARANG MASUK]]-Katalog[[#This Row],[BARANG TERJUAL]]</f>
        <v>16</v>
      </c>
      <c r="H149" s="4">
        <f>Katalog[[#This Row],[HARGA JUAL]]*Katalog[[#This Row],[BARANG TERJUAL]]</f>
        <v>18000</v>
      </c>
    </row>
    <row r="150" spans="2:8" x14ac:dyDescent="0.35">
      <c r="B150" s="9" t="s">
        <v>151</v>
      </c>
      <c r="C150" s="10">
        <v>50000</v>
      </c>
      <c r="D150" s="3">
        <v>3</v>
      </c>
      <c r="E150" s="3">
        <f>SUMIF('BARANG MASUK'!$C$2:$C$294,Katalog[[#This Row],[NAMA BARANG]],'BARANG MASUK'!$D$2:$D$294)</f>
        <v>50</v>
      </c>
      <c r="F150" s="3">
        <f>SUMIF('BARANG TERJUAL'!$C$2:$C$974,Katalog[[#This Row],[NAMA BARANG]],'BARANG TERJUAL'!$D$2:$D$974)</f>
        <v>4</v>
      </c>
      <c r="G150" s="8">
        <f>Katalog[[#This Row],[STOK AWAL]]+Katalog[[#This Row],[BARANG MASUK]]-Katalog[[#This Row],[BARANG TERJUAL]]</f>
        <v>49</v>
      </c>
      <c r="H150" s="4">
        <f>Katalog[[#This Row],[HARGA JUAL]]*Katalog[[#This Row],[BARANG TERJUAL]]</f>
        <v>200000</v>
      </c>
    </row>
    <row r="151" spans="2:8" x14ac:dyDescent="0.35">
      <c r="B151" s="9" t="s">
        <v>152</v>
      </c>
      <c r="C151" s="10">
        <v>7000</v>
      </c>
      <c r="D151" s="3">
        <v>11</v>
      </c>
      <c r="E151" s="3">
        <f>SUMIF('BARANG MASUK'!$C$2:$C$294,Katalog[[#This Row],[NAMA BARANG]],'BARANG MASUK'!$D$2:$D$294)</f>
        <v>0</v>
      </c>
      <c r="F151" s="3">
        <f>SUMIF('BARANG TERJUAL'!$C$2:$C$974,Katalog[[#This Row],[NAMA BARANG]],'BARANG TERJUAL'!$D$2:$D$974)</f>
        <v>7</v>
      </c>
      <c r="G151" s="8">
        <f>Katalog[[#This Row],[STOK AWAL]]+Katalog[[#This Row],[BARANG MASUK]]-Katalog[[#This Row],[BARANG TERJUAL]]</f>
        <v>4</v>
      </c>
      <c r="H151" s="4">
        <f>Katalog[[#This Row],[HARGA JUAL]]*Katalog[[#This Row],[BARANG TERJUAL]]</f>
        <v>49000</v>
      </c>
    </row>
    <row r="152" spans="2:8" x14ac:dyDescent="0.35">
      <c r="B152" s="9" t="s">
        <v>197</v>
      </c>
      <c r="C152" s="10">
        <v>2500</v>
      </c>
      <c r="D152" s="3">
        <v>22</v>
      </c>
      <c r="E152" s="3">
        <f>SUMIF('BARANG MASUK'!$C$2:$C$294,Katalog[[#This Row],[NAMA BARANG]],'BARANG MASUK'!$D$2:$D$294)</f>
        <v>60</v>
      </c>
      <c r="F152" s="3">
        <f>SUMIF('BARANG TERJUAL'!$C$2:$C$974,Katalog[[#This Row],[NAMA BARANG]],'BARANG TERJUAL'!$D$2:$D$974)</f>
        <v>7</v>
      </c>
      <c r="G152" s="8">
        <f>Katalog[[#This Row],[STOK AWAL]]+Katalog[[#This Row],[BARANG MASUK]]-Katalog[[#This Row],[BARANG TERJUAL]]</f>
        <v>75</v>
      </c>
      <c r="H152" s="4">
        <f>Katalog[[#This Row],[HARGA JUAL]]*Katalog[[#This Row],[BARANG TERJUAL]]</f>
        <v>17500</v>
      </c>
    </row>
    <row r="153" spans="2:8" x14ac:dyDescent="0.35">
      <c r="B153" s="9" t="s">
        <v>198</v>
      </c>
      <c r="C153" s="10">
        <v>3500</v>
      </c>
      <c r="D153" s="3">
        <v>35</v>
      </c>
      <c r="E153" s="3">
        <f>SUMIF('BARANG MASUK'!$C$2:$C$294,Katalog[[#This Row],[NAMA BARANG]],'BARANG MASUK'!$D$2:$D$294)</f>
        <v>60</v>
      </c>
      <c r="F153" s="3">
        <f>SUMIF('BARANG TERJUAL'!$C$2:$C$974,Katalog[[#This Row],[NAMA BARANG]],'BARANG TERJUAL'!$D$2:$D$974)</f>
        <v>5</v>
      </c>
      <c r="G153" s="8">
        <f>Katalog[[#This Row],[STOK AWAL]]+Katalog[[#This Row],[BARANG MASUK]]-Katalog[[#This Row],[BARANG TERJUAL]]</f>
        <v>90</v>
      </c>
      <c r="H153" s="4">
        <f>Katalog[[#This Row],[HARGA JUAL]]*Katalog[[#This Row],[BARANG TERJUAL]]</f>
        <v>17500</v>
      </c>
    </row>
    <row r="154" spans="2:8" x14ac:dyDescent="0.35">
      <c r="B154" s="9" t="s">
        <v>196</v>
      </c>
      <c r="C154" s="10">
        <v>5000</v>
      </c>
      <c r="D154" s="3">
        <v>32</v>
      </c>
      <c r="E154" s="3">
        <f>SUMIF('BARANG MASUK'!$C$2:$C$294,Katalog[[#This Row],[NAMA BARANG]],'BARANG MASUK'!$D$2:$D$294)</f>
        <v>60</v>
      </c>
      <c r="F154" s="3">
        <f>SUMIF('BARANG TERJUAL'!$C$2:$C$974,Katalog[[#This Row],[NAMA BARANG]],'BARANG TERJUAL'!$D$2:$D$974)</f>
        <v>16</v>
      </c>
      <c r="G154" s="8">
        <f>Katalog[[#This Row],[STOK AWAL]]+Katalog[[#This Row],[BARANG MASUK]]-Katalog[[#This Row],[BARANG TERJUAL]]</f>
        <v>76</v>
      </c>
      <c r="H154" s="4">
        <f>Katalog[[#This Row],[HARGA JUAL]]*Katalog[[#This Row],[BARANG TERJUAL]]</f>
        <v>80000</v>
      </c>
    </row>
    <row r="155" spans="2:8" x14ac:dyDescent="0.35">
      <c r="B155" s="9" t="s">
        <v>195</v>
      </c>
      <c r="C155" s="10">
        <v>2000</v>
      </c>
      <c r="D155" s="3">
        <v>21</v>
      </c>
      <c r="E155" s="3">
        <f>SUMIF('BARANG MASUK'!$C$2:$C$294,Katalog[[#This Row],[NAMA BARANG]],'BARANG MASUK'!$D$2:$D$294)</f>
        <v>60</v>
      </c>
      <c r="F155" s="3">
        <f>SUMIF('BARANG TERJUAL'!$C$2:$C$974,Katalog[[#This Row],[NAMA BARANG]],'BARANG TERJUAL'!$D$2:$D$974)</f>
        <v>19</v>
      </c>
      <c r="G155" s="8">
        <f>Katalog[[#This Row],[STOK AWAL]]+Katalog[[#This Row],[BARANG MASUK]]-Katalog[[#This Row],[BARANG TERJUAL]]</f>
        <v>62</v>
      </c>
      <c r="H155" s="4">
        <f>Katalog[[#This Row],[HARGA JUAL]]*Katalog[[#This Row],[BARANG TERJUAL]]</f>
        <v>38000</v>
      </c>
    </row>
    <row r="156" spans="2:8" x14ac:dyDescent="0.35">
      <c r="B156" s="9" t="s">
        <v>125</v>
      </c>
      <c r="C156" s="10">
        <v>2000</v>
      </c>
      <c r="D156" s="3">
        <v>15</v>
      </c>
      <c r="E156" s="3">
        <f>SUMIF('BARANG MASUK'!$C$2:$C$294,Katalog[[#This Row],[NAMA BARANG]],'BARANG MASUK'!$D$2:$D$294)</f>
        <v>60</v>
      </c>
      <c r="F156" s="3">
        <f>SUMIF('BARANG TERJUAL'!$C$2:$C$974,Katalog[[#This Row],[NAMA BARANG]],'BARANG TERJUAL'!$D$2:$D$974)</f>
        <v>17</v>
      </c>
      <c r="G156" s="8">
        <f>Katalog[[#This Row],[STOK AWAL]]+Katalog[[#This Row],[BARANG MASUK]]-Katalog[[#This Row],[BARANG TERJUAL]]</f>
        <v>58</v>
      </c>
      <c r="H156" s="4">
        <f>Katalog[[#This Row],[HARGA JUAL]]*Katalog[[#This Row],[BARANG TERJUAL]]</f>
        <v>34000</v>
      </c>
    </row>
    <row r="157" spans="2:8" x14ac:dyDescent="0.35">
      <c r="B157" s="9" t="s">
        <v>124</v>
      </c>
      <c r="C157" s="10">
        <v>1500</v>
      </c>
      <c r="D157" s="3">
        <v>20</v>
      </c>
      <c r="E157" s="3">
        <f>SUMIF('BARANG MASUK'!$C$2:$C$294,Katalog[[#This Row],[NAMA BARANG]],'BARANG MASUK'!$D$2:$D$294)</f>
        <v>60</v>
      </c>
      <c r="F157" s="3">
        <f>SUMIF('BARANG TERJUAL'!$C$2:$C$974,Katalog[[#This Row],[NAMA BARANG]],'BARANG TERJUAL'!$D$2:$D$974)</f>
        <v>19</v>
      </c>
      <c r="G157" s="8">
        <f>Katalog[[#This Row],[STOK AWAL]]+Katalog[[#This Row],[BARANG MASUK]]-Katalog[[#This Row],[BARANG TERJUAL]]</f>
        <v>61</v>
      </c>
      <c r="H157" s="4">
        <f>Katalog[[#This Row],[HARGA JUAL]]*Katalog[[#This Row],[BARANG TERJUAL]]</f>
        <v>28500</v>
      </c>
    </row>
    <row r="158" spans="2:8" x14ac:dyDescent="0.35">
      <c r="B158" s="9" t="s">
        <v>123</v>
      </c>
      <c r="C158" s="10">
        <v>8000</v>
      </c>
      <c r="D158" s="3">
        <v>40</v>
      </c>
      <c r="E158" s="3">
        <f>SUMIF('BARANG MASUK'!$C$2:$C$294,Katalog[[#This Row],[NAMA BARANG]],'BARANG MASUK'!$D$2:$D$294)</f>
        <v>30</v>
      </c>
      <c r="F158" s="3">
        <f>SUMIF('BARANG TERJUAL'!$C$2:$C$974,Katalog[[#This Row],[NAMA BARANG]],'BARANG TERJUAL'!$D$2:$D$974)</f>
        <v>16</v>
      </c>
      <c r="G158" s="8">
        <f>Katalog[[#This Row],[STOK AWAL]]+Katalog[[#This Row],[BARANG MASUK]]-Katalog[[#This Row],[BARANG TERJUAL]]</f>
        <v>54</v>
      </c>
      <c r="H158" s="4">
        <f>Katalog[[#This Row],[HARGA JUAL]]*Katalog[[#This Row],[BARANG TERJUAL]]</f>
        <v>128000</v>
      </c>
    </row>
    <row r="159" spans="2:8" x14ac:dyDescent="0.35">
      <c r="B159" s="9" t="s">
        <v>120</v>
      </c>
      <c r="C159" s="10">
        <v>38000</v>
      </c>
      <c r="D159" s="3">
        <v>7</v>
      </c>
      <c r="E159" s="3">
        <f>SUMIF('BARANG MASUK'!$C$2:$C$294,Katalog[[#This Row],[NAMA BARANG]],'BARANG MASUK'!$D$2:$D$294)</f>
        <v>60</v>
      </c>
      <c r="F159" s="3">
        <f>SUMIF('BARANG TERJUAL'!$C$2:$C$974,Katalog[[#This Row],[NAMA BARANG]],'BARANG TERJUAL'!$D$2:$D$974)</f>
        <v>4</v>
      </c>
      <c r="G159" s="8">
        <f>Katalog[[#This Row],[STOK AWAL]]+Katalog[[#This Row],[BARANG MASUK]]-Katalog[[#This Row],[BARANG TERJUAL]]</f>
        <v>63</v>
      </c>
      <c r="H159" s="4">
        <f>Katalog[[#This Row],[HARGA JUAL]]*Katalog[[#This Row],[BARANG TERJUAL]]</f>
        <v>152000</v>
      </c>
    </row>
    <row r="160" spans="2:8" x14ac:dyDescent="0.35">
      <c r="B160" s="9" t="s">
        <v>122</v>
      </c>
      <c r="C160" s="10">
        <v>4000</v>
      </c>
      <c r="D160" s="3">
        <v>20</v>
      </c>
      <c r="E160" s="3">
        <f>SUMIF('BARANG MASUK'!$C$2:$C$294,Katalog[[#This Row],[NAMA BARANG]],'BARANG MASUK'!$D$2:$D$294)</f>
        <v>0</v>
      </c>
      <c r="F160" s="3">
        <f>SUMIF('BARANG TERJUAL'!$C$2:$C$974,Katalog[[#This Row],[NAMA BARANG]],'BARANG TERJUAL'!$D$2:$D$974)</f>
        <v>16</v>
      </c>
      <c r="G160" s="8">
        <f>Katalog[[#This Row],[STOK AWAL]]+Katalog[[#This Row],[BARANG MASUK]]-Katalog[[#This Row],[BARANG TERJUAL]]</f>
        <v>4</v>
      </c>
      <c r="H160" s="4">
        <f>Katalog[[#This Row],[HARGA JUAL]]*Katalog[[#This Row],[BARANG TERJUAL]]</f>
        <v>64000</v>
      </c>
    </row>
    <row r="161" spans="2:8" x14ac:dyDescent="0.35">
      <c r="B161" s="9" t="s">
        <v>119</v>
      </c>
      <c r="C161" s="10">
        <v>15000</v>
      </c>
      <c r="D161" s="3">
        <v>12</v>
      </c>
      <c r="E161" s="3">
        <f>SUMIF('BARANG MASUK'!$C$2:$C$294,Katalog[[#This Row],[NAMA BARANG]],'BARANG MASUK'!$D$2:$D$294)</f>
        <v>50</v>
      </c>
      <c r="F161" s="3">
        <f>SUMIF('BARANG TERJUAL'!$C$2:$C$974,Katalog[[#This Row],[NAMA BARANG]],'BARANG TERJUAL'!$D$2:$D$974)</f>
        <v>10</v>
      </c>
      <c r="G161" s="8">
        <f>Katalog[[#This Row],[STOK AWAL]]+Katalog[[#This Row],[BARANG MASUK]]-Katalog[[#This Row],[BARANG TERJUAL]]</f>
        <v>52</v>
      </c>
      <c r="H161" s="4">
        <f>Katalog[[#This Row],[HARGA JUAL]]*Katalog[[#This Row],[BARANG TERJUAL]]</f>
        <v>150000</v>
      </c>
    </row>
    <row r="162" spans="2:8" x14ac:dyDescent="0.35">
      <c r="B162" s="9" t="s">
        <v>118</v>
      </c>
      <c r="C162" s="10">
        <v>9000</v>
      </c>
      <c r="D162" s="3">
        <v>15</v>
      </c>
      <c r="E162" s="3">
        <f>SUMIF('BARANG MASUK'!$C$2:$C$294,Katalog[[#This Row],[NAMA BARANG]],'BARANG MASUK'!$D$2:$D$294)</f>
        <v>50</v>
      </c>
      <c r="F162" s="3">
        <f>SUMIF('BARANG TERJUAL'!$C$2:$C$974,Katalog[[#This Row],[NAMA BARANG]],'BARANG TERJUAL'!$D$2:$D$974)</f>
        <v>10</v>
      </c>
      <c r="G162" s="8">
        <f>Katalog[[#This Row],[STOK AWAL]]+Katalog[[#This Row],[BARANG MASUK]]-Katalog[[#This Row],[BARANG TERJUAL]]</f>
        <v>55</v>
      </c>
      <c r="H162" s="4">
        <f>Katalog[[#This Row],[HARGA JUAL]]*Katalog[[#This Row],[BARANG TERJUAL]]</f>
        <v>90000</v>
      </c>
    </row>
    <row r="163" spans="2:8" x14ac:dyDescent="0.35">
      <c r="B163" s="9" t="s">
        <v>200</v>
      </c>
      <c r="C163" s="10">
        <v>17000</v>
      </c>
      <c r="D163" s="3">
        <v>5</v>
      </c>
      <c r="E163" s="3">
        <f>SUMIF('BARANG MASUK'!$C$2:$C$294,Katalog[[#This Row],[NAMA BARANG]],'BARANG MASUK'!$D$2:$D$294)</f>
        <v>40</v>
      </c>
      <c r="F163" s="3">
        <f>SUMIF('BARANG TERJUAL'!$C$2:$C$974,Katalog[[#This Row],[NAMA BARANG]],'BARANG TERJUAL'!$D$2:$D$974)</f>
        <v>4</v>
      </c>
      <c r="G163" s="8">
        <f>Katalog[[#This Row],[STOK AWAL]]+Katalog[[#This Row],[BARANG MASUK]]-Katalog[[#This Row],[BARANG TERJUAL]]</f>
        <v>41</v>
      </c>
      <c r="H163" s="4">
        <f>Katalog[[#This Row],[HARGA JUAL]]*Katalog[[#This Row],[BARANG TERJUAL]]</f>
        <v>68000</v>
      </c>
    </row>
    <row r="164" spans="2:8" x14ac:dyDescent="0.35">
      <c r="B164" s="9" t="s">
        <v>201</v>
      </c>
      <c r="C164" s="10">
        <v>2000</v>
      </c>
      <c r="D164" s="3">
        <v>20</v>
      </c>
      <c r="E164" s="3">
        <f>SUMIF('BARANG MASUK'!$C$2:$C$294,Katalog[[#This Row],[NAMA BARANG]],'BARANG MASUK'!$D$2:$D$294)</f>
        <v>0</v>
      </c>
      <c r="F164" s="3">
        <f>SUMIF('BARANG TERJUAL'!$C$2:$C$974,Katalog[[#This Row],[NAMA BARANG]],'BARANG TERJUAL'!$D$2:$D$974)</f>
        <v>4</v>
      </c>
      <c r="G164" s="8">
        <f>Katalog[[#This Row],[STOK AWAL]]+Katalog[[#This Row],[BARANG MASUK]]-Katalog[[#This Row],[BARANG TERJUAL]]</f>
        <v>16</v>
      </c>
      <c r="H164" s="4">
        <f>Katalog[[#This Row],[HARGA JUAL]]*Katalog[[#This Row],[BARANG TERJUAL]]</f>
        <v>8000</v>
      </c>
    </row>
    <row r="165" spans="2:8" x14ac:dyDescent="0.35">
      <c r="B165" s="9" t="s">
        <v>218</v>
      </c>
      <c r="C165" s="10">
        <v>5000</v>
      </c>
      <c r="D165" s="3">
        <v>25</v>
      </c>
      <c r="E165" s="3">
        <f>SUMIF('BARANG MASUK'!$C$2:$C$294,Katalog[[#This Row],[NAMA BARANG]],'BARANG MASUK'!$D$2:$D$294)</f>
        <v>60</v>
      </c>
      <c r="F165" s="3">
        <f>SUMIF('BARANG TERJUAL'!$C$2:$C$974,Katalog[[#This Row],[NAMA BARANG]],'BARANG TERJUAL'!$D$2:$D$974)</f>
        <v>8</v>
      </c>
      <c r="G165" s="8">
        <f>Katalog[[#This Row],[STOK AWAL]]+Katalog[[#This Row],[BARANG MASUK]]-Katalog[[#This Row],[BARANG TERJUAL]]</f>
        <v>77</v>
      </c>
      <c r="H165" s="4">
        <f>Katalog[[#This Row],[HARGA JUAL]]*Katalog[[#This Row],[BARANG TERJUAL]]</f>
        <v>40000</v>
      </c>
    </row>
    <row r="166" spans="2:8" x14ac:dyDescent="0.35">
      <c r="B166" s="2" t="s">
        <v>77</v>
      </c>
      <c r="C166" s="5">
        <v>112000</v>
      </c>
      <c r="D166" s="3">
        <v>34</v>
      </c>
      <c r="E166" s="3">
        <f>SUMIF('BARANG MASUK'!$C$2:$C$294,Katalog[[#This Row],[NAMA BARANG]],'BARANG MASUK'!$D$2:$D$294)</f>
        <v>20</v>
      </c>
      <c r="F166" s="3">
        <f>SUMIF('BARANG TERJUAL'!$C$2:$C$974,Katalog[[#This Row],[NAMA BARANG]],'BARANG TERJUAL'!$D$2:$D$974)</f>
        <v>12</v>
      </c>
      <c r="G166" s="3">
        <f>Katalog[[#This Row],[STOK AWAL]]+Katalog[[#This Row],[BARANG MASUK]]-Katalog[[#This Row],[BARANG TERJUAL]]</f>
        <v>42</v>
      </c>
      <c r="H166" s="4">
        <f>Katalog[[#This Row],[HARGA JUAL]]*Katalog[[#This Row],[BARANG TERJUAL]]</f>
        <v>1344000</v>
      </c>
    </row>
    <row r="167" spans="2:8" x14ac:dyDescent="0.35">
      <c r="B167" s="2" t="s">
        <v>38</v>
      </c>
      <c r="C167" s="5">
        <v>20000</v>
      </c>
      <c r="D167" s="3">
        <v>21</v>
      </c>
      <c r="E167" s="3">
        <f>SUMIF('BARANG MASUK'!$C$2:$C$294,Katalog[[#This Row],[NAMA BARANG]],'BARANG MASUK'!$D$2:$D$294)</f>
        <v>35</v>
      </c>
      <c r="F167" s="3">
        <f>SUMIF('BARANG TERJUAL'!$C$2:$C$974,Katalog[[#This Row],[NAMA BARANG]],'BARANG TERJUAL'!$D$2:$D$974)</f>
        <v>5</v>
      </c>
      <c r="G167" s="3">
        <f>Katalog[[#This Row],[STOK AWAL]]+Katalog[[#This Row],[BARANG MASUK]]-Katalog[[#This Row],[BARANG TERJUAL]]</f>
        <v>51</v>
      </c>
      <c r="H167" s="4">
        <f>Katalog[[#This Row],[HARGA JUAL]]*Katalog[[#This Row],[BARANG TERJUAL]]</f>
        <v>100000</v>
      </c>
    </row>
    <row r="168" spans="2:8" x14ac:dyDescent="0.35">
      <c r="B168" s="2" t="s">
        <v>39</v>
      </c>
      <c r="C168" s="5">
        <v>10000</v>
      </c>
      <c r="D168" s="3">
        <v>19</v>
      </c>
      <c r="E168" s="3">
        <f>SUMIF('BARANG MASUK'!$C$2:$C$294,Katalog[[#This Row],[NAMA BARANG]],'BARANG MASUK'!$D$2:$D$294)</f>
        <v>50</v>
      </c>
      <c r="F168" s="3">
        <f>SUMIF('BARANG TERJUAL'!$C$2:$C$974,Katalog[[#This Row],[NAMA BARANG]],'BARANG TERJUAL'!$D$2:$D$974)</f>
        <v>4</v>
      </c>
      <c r="G168" s="3">
        <f>Katalog[[#This Row],[STOK AWAL]]+Katalog[[#This Row],[BARANG MASUK]]-Katalog[[#This Row],[BARANG TERJUAL]]</f>
        <v>65</v>
      </c>
      <c r="H168" s="4">
        <f>Katalog[[#This Row],[HARGA JUAL]]*Katalog[[#This Row],[BARANG TERJUAL]]</f>
        <v>40000</v>
      </c>
    </row>
    <row r="169" spans="2:8" x14ac:dyDescent="0.35">
      <c r="B169" s="2" t="s">
        <v>32</v>
      </c>
      <c r="C169" s="5">
        <v>7000</v>
      </c>
      <c r="D169" s="3">
        <v>30</v>
      </c>
      <c r="E169" s="3">
        <f>SUMIF('BARANG MASUK'!$C$2:$C$294,Katalog[[#This Row],[NAMA BARANG]],'BARANG MASUK'!$D$2:$D$294)</f>
        <v>35</v>
      </c>
      <c r="F169" s="3">
        <f>SUMIF('BARANG TERJUAL'!$C$2:$C$974,Katalog[[#This Row],[NAMA BARANG]],'BARANG TERJUAL'!$D$2:$D$974)</f>
        <v>5</v>
      </c>
      <c r="G169" s="3">
        <f>Katalog[[#This Row],[STOK AWAL]]+Katalog[[#This Row],[BARANG MASUK]]-Katalog[[#This Row],[BARANG TERJUAL]]</f>
        <v>60</v>
      </c>
      <c r="H169" s="4">
        <f>Katalog[[#This Row],[HARGA JUAL]]*Katalog[[#This Row],[BARANG TERJUAL]]</f>
        <v>35000</v>
      </c>
    </row>
    <row r="170" spans="2:8" x14ac:dyDescent="0.35">
      <c r="B170" s="2" t="s">
        <v>34</v>
      </c>
      <c r="C170" s="5">
        <v>5000</v>
      </c>
      <c r="D170" s="3">
        <v>28</v>
      </c>
      <c r="E170" s="3">
        <f>SUMIF('BARANG MASUK'!$C$2:$C$294,Katalog[[#This Row],[NAMA BARANG]],'BARANG MASUK'!$D$2:$D$294)</f>
        <v>35</v>
      </c>
      <c r="F170" s="3">
        <f>SUMIF('BARANG TERJUAL'!$C$2:$C$974,Katalog[[#This Row],[NAMA BARANG]],'BARANG TERJUAL'!$D$2:$D$974)</f>
        <v>7</v>
      </c>
      <c r="G170" s="3">
        <f>Katalog[[#This Row],[STOK AWAL]]+Katalog[[#This Row],[BARANG MASUK]]-Katalog[[#This Row],[BARANG TERJUAL]]</f>
        <v>56</v>
      </c>
      <c r="H170" s="4">
        <f>Katalog[[#This Row],[HARGA JUAL]]*Katalog[[#This Row],[BARANG TERJUAL]]</f>
        <v>35000</v>
      </c>
    </row>
    <row r="171" spans="2:8" x14ac:dyDescent="0.35">
      <c r="B171" s="2" t="s">
        <v>33</v>
      </c>
      <c r="C171" s="5">
        <v>7000</v>
      </c>
      <c r="D171" s="3">
        <v>24</v>
      </c>
      <c r="E171" s="3">
        <f>SUMIF('BARANG MASUK'!$C$2:$C$294,Katalog[[#This Row],[NAMA BARANG]],'BARANG MASUK'!$D$2:$D$294)</f>
        <v>35</v>
      </c>
      <c r="F171" s="3">
        <f>SUMIF('BARANG TERJUAL'!$C$2:$C$974,Katalog[[#This Row],[NAMA BARANG]],'BARANG TERJUAL'!$D$2:$D$974)</f>
        <v>15</v>
      </c>
      <c r="G171" s="3">
        <f>Katalog[[#This Row],[STOK AWAL]]+Katalog[[#This Row],[BARANG MASUK]]-Katalog[[#This Row],[BARANG TERJUAL]]</f>
        <v>44</v>
      </c>
      <c r="H171" s="4">
        <f>Katalog[[#This Row],[HARGA JUAL]]*Katalog[[#This Row],[BARANG TERJUAL]]</f>
        <v>105000</v>
      </c>
    </row>
    <row r="172" spans="2:8" x14ac:dyDescent="0.35">
      <c r="B172" s="2" t="s">
        <v>79</v>
      </c>
      <c r="C172" s="5">
        <v>266000</v>
      </c>
      <c r="D172" s="3">
        <v>41</v>
      </c>
      <c r="E172" s="3">
        <f>SUMIF('BARANG MASUK'!$C$2:$C$294,Katalog[[#This Row],[NAMA BARANG]],'BARANG MASUK'!$D$2:$D$294)</f>
        <v>10</v>
      </c>
      <c r="F172" s="3">
        <f>SUMIF('BARANG TERJUAL'!$C$2:$C$974,Katalog[[#This Row],[NAMA BARANG]],'BARANG TERJUAL'!$D$2:$D$974)</f>
        <v>3</v>
      </c>
      <c r="G172" s="3">
        <f>Katalog[[#This Row],[STOK AWAL]]+Katalog[[#This Row],[BARANG MASUK]]-Katalog[[#This Row],[BARANG TERJUAL]]</f>
        <v>48</v>
      </c>
      <c r="H172" s="4">
        <f>Katalog[[#This Row],[HARGA JUAL]]*Katalog[[#This Row],[BARANG TERJUAL]]</f>
        <v>798000</v>
      </c>
    </row>
    <row r="173" spans="2:8" x14ac:dyDescent="0.35">
      <c r="B173" s="2" t="s">
        <v>80</v>
      </c>
      <c r="C173" s="5">
        <v>317000</v>
      </c>
      <c r="D173" s="3">
        <v>27</v>
      </c>
      <c r="E173" s="3">
        <f>SUMIF('BARANG MASUK'!$C$2:$C$294,Katalog[[#This Row],[NAMA BARANG]],'BARANG MASUK'!$D$2:$D$294)</f>
        <v>10</v>
      </c>
      <c r="F173" s="3">
        <f>SUMIF('BARANG TERJUAL'!$C$2:$C$974,Katalog[[#This Row],[NAMA BARANG]],'BARANG TERJUAL'!$D$2:$D$974)</f>
        <v>4</v>
      </c>
      <c r="G173" s="3">
        <f>Katalog[[#This Row],[STOK AWAL]]+Katalog[[#This Row],[BARANG MASUK]]-Katalog[[#This Row],[BARANG TERJUAL]]</f>
        <v>33</v>
      </c>
      <c r="H173" s="4">
        <f>Katalog[[#This Row],[HARGA JUAL]]*Katalog[[#This Row],[BARANG TERJUAL]]</f>
        <v>1268000</v>
      </c>
    </row>
    <row r="174" spans="2:8" x14ac:dyDescent="0.35">
      <c r="B174" s="2" t="s">
        <v>81</v>
      </c>
      <c r="C174" s="5">
        <v>404000</v>
      </c>
      <c r="D174" s="3">
        <v>25</v>
      </c>
      <c r="E174" s="3">
        <f>SUMIF('BARANG MASUK'!$C$2:$C$294,Katalog[[#This Row],[NAMA BARANG]],'BARANG MASUK'!$D$2:$D$294)</f>
        <v>10</v>
      </c>
      <c r="F174" s="3">
        <f>SUMIF('BARANG TERJUAL'!$C$2:$C$974,Katalog[[#This Row],[NAMA BARANG]],'BARANG TERJUAL'!$D$2:$D$974)</f>
        <v>2</v>
      </c>
      <c r="G174" s="3">
        <f>Katalog[[#This Row],[STOK AWAL]]+Katalog[[#This Row],[BARANG MASUK]]-Katalog[[#This Row],[BARANG TERJUAL]]</f>
        <v>33</v>
      </c>
      <c r="H174" s="4">
        <f>Katalog[[#This Row],[HARGA JUAL]]*Katalog[[#This Row],[BARANG TERJUAL]]</f>
        <v>808000</v>
      </c>
    </row>
    <row r="175" spans="2:8" x14ac:dyDescent="0.35">
      <c r="B175" s="2" t="s">
        <v>65</v>
      </c>
      <c r="C175" s="5">
        <v>15000</v>
      </c>
      <c r="D175" s="3">
        <v>20</v>
      </c>
      <c r="E175" s="3">
        <f>SUMIF('BARANG MASUK'!$C$2:$C$294,Katalog[[#This Row],[NAMA BARANG]],'BARANG MASUK'!$D$2:$D$294)</f>
        <v>10</v>
      </c>
      <c r="F175" s="3">
        <f>SUMIF('BARANG TERJUAL'!$C$2:$C$974,Katalog[[#This Row],[NAMA BARANG]],'BARANG TERJUAL'!$D$2:$D$974)</f>
        <v>14</v>
      </c>
      <c r="G175" s="3">
        <f>Katalog[[#This Row],[STOK AWAL]]+Katalog[[#This Row],[BARANG MASUK]]-Katalog[[#This Row],[BARANG TERJUAL]]</f>
        <v>16</v>
      </c>
      <c r="H175" s="4">
        <f>Katalog[[#This Row],[HARGA JUAL]]*Katalog[[#This Row],[BARANG TERJUAL]]</f>
        <v>210000</v>
      </c>
    </row>
    <row r="176" spans="2:8" x14ac:dyDescent="0.35">
      <c r="B176" s="2" t="s">
        <v>69</v>
      </c>
      <c r="C176" s="5">
        <v>15000</v>
      </c>
      <c r="D176" s="3">
        <v>32</v>
      </c>
      <c r="E176" s="3">
        <f>SUMIF('BARANG MASUK'!$C$2:$C$294,Katalog[[#This Row],[NAMA BARANG]],'BARANG MASUK'!$D$2:$D$294)</f>
        <v>10</v>
      </c>
      <c r="F176" s="3">
        <f>SUMIF('BARANG TERJUAL'!$C$2:$C$974,Katalog[[#This Row],[NAMA BARANG]],'BARANG TERJUAL'!$D$2:$D$974)</f>
        <v>21</v>
      </c>
      <c r="G176" s="3">
        <f>Katalog[[#This Row],[STOK AWAL]]+Katalog[[#This Row],[BARANG MASUK]]-Katalog[[#This Row],[BARANG TERJUAL]]</f>
        <v>21</v>
      </c>
      <c r="H176" s="4">
        <f>Katalog[[#This Row],[HARGA JUAL]]*Katalog[[#This Row],[BARANG TERJUAL]]</f>
        <v>315000</v>
      </c>
    </row>
    <row r="177" spans="2:8" x14ac:dyDescent="0.35">
      <c r="B177" s="9" t="s">
        <v>164</v>
      </c>
      <c r="C177" s="10">
        <v>17000</v>
      </c>
      <c r="D177" s="3">
        <v>40</v>
      </c>
      <c r="E177" s="3">
        <f>SUMIF('BARANG MASUK'!$C$2:$C$294,Katalog[[#This Row],[NAMA BARANG]],'BARANG MASUK'!$D$2:$D$294)</f>
        <v>24</v>
      </c>
      <c r="F177" s="3">
        <f>SUMIF('BARANG TERJUAL'!$C$2:$C$974,Katalog[[#This Row],[NAMA BARANG]],'BARANG TERJUAL'!$D$2:$D$974)</f>
        <v>9</v>
      </c>
      <c r="G177" s="8">
        <f>Katalog[[#This Row],[STOK AWAL]]+Katalog[[#This Row],[BARANG MASUK]]-Katalog[[#This Row],[BARANG TERJUAL]]</f>
        <v>55</v>
      </c>
      <c r="H177" s="4">
        <f>Katalog[[#This Row],[HARGA JUAL]]*Katalog[[#This Row],[BARANG TERJUAL]]</f>
        <v>153000</v>
      </c>
    </row>
    <row r="178" spans="2:8" x14ac:dyDescent="0.35">
      <c r="B178" s="9" t="s">
        <v>159</v>
      </c>
      <c r="C178" s="10">
        <v>110000</v>
      </c>
      <c r="D178" s="3">
        <v>11</v>
      </c>
      <c r="E178" s="3">
        <f>SUMIF('BARANG MASUK'!$C$2:$C$294,Katalog[[#This Row],[NAMA BARANG]],'BARANG MASUK'!$D$2:$D$294)</f>
        <v>60</v>
      </c>
      <c r="F178" s="3">
        <f>SUMIF('BARANG TERJUAL'!$C$2:$C$974,Katalog[[#This Row],[NAMA BARANG]],'BARANG TERJUAL'!$D$2:$D$974)</f>
        <v>5</v>
      </c>
      <c r="G178" s="8">
        <f>Katalog[[#This Row],[STOK AWAL]]+Katalog[[#This Row],[BARANG MASUK]]-Katalog[[#This Row],[BARANG TERJUAL]]</f>
        <v>66</v>
      </c>
      <c r="H178" s="4">
        <f>Katalog[[#This Row],[HARGA JUAL]]*Katalog[[#This Row],[BARANG TERJUAL]]</f>
        <v>550000</v>
      </c>
    </row>
    <row r="179" spans="2:8" x14ac:dyDescent="0.35">
      <c r="B179" s="9" t="s">
        <v>160</v>
      </c>
      <c r="C179" s="10">
        <v>12000</v>
      </c>
      <c r="D179" s="3">
        <v>22</v>
      </c>
      <c r="E179" s="3">
        <f>SUMIF('BARANG MASUK'!$C$2:$C$294,Katalog[[#This Row],[NAMA BARANG]],'BARANG MASUK'!$D$2:$D$294)</f>
        <v>0</v>
      </c>
      <c r="F179" s="3">
        <f>SUMIF('BARANG TERJUAL'!$C$2:$C$974,Katalog[[#This Row],[NAMA BARANG]],'BARANG TERJUAL'!$D$2:$D$974)</f>
        <v>11</v>
      </c>
      <c r="G179" s="8">
        <f>Katalog[[#This Row],[STOK AWAL]]+Katalog[[#This Row],[BARANG MASUK]]-Katalog[[#This Row],[BARANG TERJUAL]]</f>
        <v>11</v>
      </c>
      <c r="H179" s="4">
        <f>Katalog[[#This Row],[HARGA JUAL]]*Katalog[[#This Row],[BARANG TERJUAL]]</f>
        <v>132000</v>
      </c>
    </row>
    <row r="180" spans="2:8" x14ac:dyDescent="0.35">
      <c r="B180" s="9" t="s">
        <v>157</v>
      </c>
      <c r="C180" s="10">
        <v>120000</v>
      </c>
      <c r="D180" s="3">
        <v>10</v>
      </c>
      <c r="E180" s="3">
        <f>SUMIF('BARANG MASUK'!$C$2:$C$294,Katalog[[#This Row],[NAMA BARANG]],'BARANG MASUK'!$D$2:$D$294)</f>
        <v>50</v>
      </c>
      <c r="F180" s="3">
        <f>SUMIF('BARANG TERJUAL'!$C$2:$C$974,Katalog[[#This Row],[NAMA BARANG]],'BARANG TERJUAL'!$D$2:$D$974)</f>
        <v>2</v>
      </c>
      <c r="G180" s="8">
        <f>Katalog[[#This Row],[STOK AWAL]]+Katalog[[#This Row],[BARANG MASUK]]-Katalog[[#This Row],[BARANG TERJUAL]]</f>
        <v>58</v>
      </c>
      <c r="H180" s="4">
        <f>Katalog[[#This Row],[HARGA JUAL]]*Katalog[[#This Row],[BARANG TERJUAL]]</f>
        <v>240000</v>
      </c>
    </row>
    <row r="181" spans="2:8" x14ac:dyDescent="0.35">
      <c r="B181" s="9" t="s">
        <v>158</v>
      </c>
      <c r="C181" s="10">
        <v>13000</v>
      </c>
      <c r="D181" s="3">
        <v>20</v>
      </c>
      <c r="E181" s="3">
        <f>SUMIF('BARANG MASUK'!$C$2:$C$294,Katalog[[#This Row],[NAMA BARANG]],'BARANG MASUK'!$D$2:$D$294)</f>
        <v>0</v>
      </c>
      <c r="F181" s="3">
        <f>SUMIF('BARANG TERJUAL'!$C$2:$C$974,Katalog[[#This Row],[NAMA BARANG]],'BARANG TERJUAL'!$D$2:$D$974)</f>
        <v>9</v>
      </c>
      <c r="G181" s="8">
        <f>Katalog[[#This Row],[STOK AWAL]]+Katalog[[#This Row],[BARANG MASUK]]-Katalog[[#This Row],[BARANG TERJUAL]]</f>
        <v>11</v>
      </c>
      <c r="H181" s="4">
        <f>Katalog[[#This Row],[HARGA JUAL]]*Katalog[[#This Row],[BARANG TERJUAL]]</f>
        <v>117000</v>
      </c>
    </row>
    <row r="182" spans="2:8" x14ac:dyDescent="0.35">
      <c r="B182" s="9" t="s">
        <v>162</v>
      </c>
      <c r="C182" s="10">
        <v>17000</v>
      </c>
      <c r="D182" s="3">
        <v>21</v>
      </c>
      <c r="E182" s="3">
        <f>SUMIF('BARANG MASUK'!$C$2:$C$294,Katalog[[#This Row],[NAMA BARANG]],'BARANG MASUK'!$D$2:$D$294)</f>
        <v>24</v>
      </c>
      <c r="F182" s="3">
        <f>SUMIF('BARANG TERJUAL'!$C$2:$C$974,Katalog[[#This Row],[NAMA BARANG]],'BARANG TERJUAL'!$D$2:$D$974)</f>
        <v>3</v>
      </c>
      <c r="G182" s="8">
        <f>Katalog[[#This Row],[STOK AWAL]]+Katalog[[#This Row],[BARANG MASUK]]-Katalog[[#This Row],[BARANG TERJUAL]]</f>
        <v>42</v>
      </c>
      <c r="H182" s="4">
        <f>Katalog[[#This Row],[HARGA JUAL]]*Katalog[[#This Row],[BARANG TERJUAL]]</f>
        <v>51000</v>
      </c>
    </row>
    <row r="183" spans="2:8" x14ac:dyDescent="0.35">
      <c r="B183" s="9" t="s">
        <v>161</v>
      </c>
      <c r="C183" s="10">
        <v>43000</v>
      </c>
      <c r="D183" s="3">
        <v>24</v>
      </c>
      <c r="E183" s="3">
        <f>SUMIF('BARANG MASUK'!$C$2:$C$294,Katalog[[#This Row],[NAMA BARANG]],'BARANG MASUK'!$D$2:$D$294)</f>
        <v>24</v>
      </c>
      <c r="F183" s="3">
        <f>SUMIF('BARANG TERJUAL'!$C$2:$C$974,Katalog[[#This Row],[NAMA BARANG]],'BARANG TERJUAL'!$D$2:$D$974)</f>
        <v>9</v>
      </c>
      <c r="G183" s="8">
        <f>Katalog[[#This Row],[STOK AWAL]]+Katalog[[#This Row],[BARANG MASUK]]-Katalog[[#This Row],[BARANG TERJUAL]]</f>
        <v>39</v>
      </c>
      <c r="H183" s="4">
        <f>Katalog[[#This Row],[HARGA JUAL]]*Katalog[[#This Row],[BARANG TERJUAL]]</f>
        <v>387000</v>
      </c>
    </row>
    <row r="184" spans="2:8" x14ac:dyDescent="0.35">
      <c r="B184" s="9" t="s">
        <v>163</v>
      </c>
      <c r="C184" s="10">
        <v>2000</v>
      </c>
      <c r="D184" s="3">
        <v>27</v>
      </c>
      <c r="E184" s="3">
        <f>SUMIF('BARANG MASUK'!$C$2:$C$294,Katalog[[#This Row],[NAMA BARANG]],'BARANG MASUK'!$D$2:$D$294)</f>
        <v>64</v>
      </c>
      <c r="F184" s="3">
        <f>SUMIF('BARANG TERJUAL'!$C$2:$C$974,Katalog[[#This Row],[NAMA BARANG]],'BARANG TERJUAL'!$D$2:$D$974)</f>
        <v>40</v>
      </c>
      <c r="G184" s="8">
        <f>Katalog[[#This Row],[STOK AWAL]]+Katalog[[#This Row],[BARANG MASUK]]-Katalog[[#This Row],[BARANG TERJUAL]]</f>
        <v>51</v>
      </c>
      <c r="H184" s="4">
        <f>Katalog[[#This Row],[HARGA JUAL]]*Katalog[[#This Row],[BARANG TERJUAL]]</f>
        <v>80000</v>
      </c>
    </row>
    <row r="185" spans="2:8" x14ac:dyDescent="0.35">
      <c r="B185" s="9" t="s">
        <v>166</v>
      </c>
      <c r="C185" s="10">
        <v>8000</v>
      </c>
      <c r="D185" s="3">
        <v>38</v>
      </c>
      <c r="E185" s="3">
        <f>SUMIF('BARANG MASUK'!$C$2:$C$294,Katalog[[#This Row],[NAMA BARANG]],'BARANG MASUK'!$D$2:$D$294)</f>
        <v>40</v>
      </c>
      <c r="F185" s="3">
        <f>SUMIF('BARANG TERJUAL'!$C$2:$C$974,Katalog[[#This Row],[NAMA BARANG]],'BARANG TERJUAL'!$D$2:$D$974)</f>
        <v>46</v>
      </c>
      <c r="G185" s="8">
        <f>Katalog[[#This Row],[STOK AWAL]]+Katalog[[#This Row],[BARANG MASUK]]-Katalog[[#This Row],[BARANG TERJUAL]]</f>
        <v>32</v>
      </c>
      <c r="H185" s="4">
        <f>Katalog[[#This Row],[HARGA JUAL]]*Katalog[[#This Row],[BARANG TERJUAL]]</f>
        <v>368000</v>
      </c>
    </row>
    <row r="186" spans="2:8" x14ac:dyDescent="0.35">
      <c r="B186" s="2" t="s">
        <v>84</v>
      </c>
      <c r="C186" s="5">
        <v>416000</v>
      </c>
      <c r="D186" s="3">
        <v>23</v>
      </c>
      <c r="E186" s="3">
        <f>SUMIF('BARANG MASUK'!$C$2:$C$294,Katalog[[#This Row],[NAMA BARANG]],'BARANG MASUK'!$D$2:$D$294)</f>
        <v>50</v>
      </c>
      <c r="F186" s="3">
        <f>SUMIF('BARANG TERJUAL'!$C$2:$C$974,Katalog[[#This Row],[NAMA BARANG]],'BARANG TERJUAL'!$D$2:$D$974)</f>
        <v>10</v>
      </c>
      <c r="G186" s="3">
        <f>Katalog[[#This Row],[STOK AWAL]]+Katalog[[#This Row],[BARANG MASUK]]-Katalog[[#This Row],[BARANG TERJUAL]]</f>
        <v>63</v>
      </c>
      <c r="H186" s="4">
        <f>Katalog[[#This Row],[HARGA JUAL]]*Katalog[[#This Row],[BARANG TERJUAL]]</f>
        <v>4160000</v>
      </c>
    </row>
    <row r="187" spans="2:8" x14ac:dyDescent="0.35">
      <c r="B187" s="2" t="s">
        <v>70</v>
      </c>
      <c r="C187" s="5">
        <v>17000</v>
      </c>
      <c r="D187" s="3">
        <v>30</v>
      </c>
      <c r="E187" s="3">
        <f>SUMIF('BARANG MASUK'!$C$2:$C$294,Katalog[[#This Row],[NAMA BARANG]],'BARANG MASUK'!$D$2:$D$294)</f>
        <v>100</v>
      </c>
      <c r="F187" s="3">
        <f>SUMIF('BARANG TERJUAL'!$C$2:$C$974,Katalog[[#This Row],[NAMA BARANG]],'BARANG TERJUAL'!$D$2:$D$974)</f>
        <v>70</v>
      </c>
      <c r="G187" s="3">
        <f>Katalog[[#This Row],[STOK AWAL]]+Katalog[[#This Row],[BARANG MASUK]]-Katalog[[#This Row],[BARANG TERJUAL]]</f>
        <v>60</v>
      </c>
      <c r="H187" s="4">
        <f>Katalog[[#This Row],[HARGA JUAL]]*Katalog[[#This Row],[BARANG TERJUAL]]</f>
        <v>1190000</v>
      </c>
    </row>
    <row r="188" spans="2:8" x14ac:dyDescent="0.35">
      <c r="B188" s="2" t="s">
        <v>75</v>
      </c>
      <c r="C188" s="5">
        <v>8000</v>
      </c>
      <c r="D188" s="3">
        <v>41</v>
      </c>
      <c r="E188" s="3">
        <f>SUMIF('BARANG MASUK'!$C$2:$C$294,Katalog[[#This Row],[NAMA BARANG]],'BARANG MASUK'!$D$2:$D$294)</f>
        <v>70</v>
      </c>
      <c r="F188" s="3">
        <f>SUMIF('BARANG TERJUAL'!$C$2:$C$974,Katalog[[#This Row],[NAMA BARANG]],'BARANG TERJUAL'!$D$2:$D$974)</f>
        <v>68</v>
      </c>
      <c r="G188" s="3">
        <f>Katalog[[#This Row],[STOK AWAL]]+Katalog[[#This Row],[BARANG MASUK]]-Katalog[[#This Row],[BARANG TERJUAL]]</f>
        <v>43</v>
      </c>
      <c r="H188" s="4">
        <f>Katalog[[#This Row],[HARGA JUAL]]*Katalog[[#This Row],[BARANG TERJUAL]]</f>
        <v>544000</v>
      </c>
    </row>
    <row r="189" spans="2:8" x14ac:dyDescent="0.35">
      <c r="B189" s="2" t="s">
        <v>73</v>
      </c>
      <c r="C189" s="5">
        <v>11000</v>
      </c>
      <c r="D189" s="3">
        <v>37</v>
      </c>
      <c r="E189" s="3">
        <f>SUMIF('BARANG MASUK'!$C$2:$C$294,Katalog[[#This Row],[NAMA BARANG]],'BARANG MASUK'!$D$2:$D$294)</f>
        <v>20</v>
      </c>
      <c r="F189" s="3">
        <f>SUMIF('BARANG TERJUAL'!$C$2:$C$974,Katalog[[#This Row],[NAMA BARANG]],'BARANG TERJUAL'!$D$2:$D$974)</f>
        <v>36</v>
      </c>
      <c r="G189" s="3">
        <f>Katalog[[#This Row],[STOK AWAL]]+Katalog[[#This Row],[BARANG MASUK]]-Katalog[[#This Row],[BARANG TERJUAL]]</f>
        <v>21</v>
      </c>
      <c r="H189" s="4">
        <f>Katalog[[#This Row],[HARGA JUAL]]*Katalog[[#This Row],[BARANG TERJUAL]]</f>
        <v>396000</v>
      </c>
    </row>
    <row r="190" spans="2:8" x14ac:dyDescent="0.35">
      <c r="B190" s="2" t="s">
        <v>43</v>
      </c>
      <c r="C190" s="5">
        <v>15000</v>
      </c>
      <c r="D190" s="3">
        <v>19</v>
      </c>
      <c r="E190" s="3">
        <f>SUMIF('BARANG MASUK'!$C$2:$C$294,Katalog[[#This Row],[NAMA BARANG]],'BARANG MASUK'!$D$2:$D$294)</f>
        <v>30</v>
      </c>
      <c r="F190" s="3">
        <f>SUMIF('BARANG TERJUAL'!$C$2:$C$974,Katalog[[#This Row],[NAMA BARANG]],'BARANG TERJUAL'!$D$2:$D$974)</f>
        <v>21</v>
      </c>
      <c r="G190" s="3">
        <f>Katalog[[#This Row],[STOK AWAL]]+Katalog[[#This Row],[BARANG MASUK]]-Katalog[[#This Row],[BARANG TERJUAL]]</f>
        <v>28</v>
      </c>
      <c r="H190" s="4">
        <f>Katalog[[#This Row],[HARGA JUAL]]*Katalog[[#This Row],[BARANG TERJUAL]]</f>
        <v>315000</v>
      </c>
    </row>
    <row r="191" spans="2:8" x14ac:dyDescent="0.35">
      <c r="B191" s="2" t="s">
        <v>44</v>
      </c>
      <c r="C191" s="5">
        <v>10000</v>
      </c>
      <c r="D191" s="3">
        <v>13</v>
      </c>
      <c r="E191" s="3">
        <f>SUMIF('BARANG MASUK'!$C$2:$C$294,Katalog[[#This Row],[NAMA BARANG]],'BARANG MASUK'!$D$2:$D$294)</f>
        <v>30</v>
      </c>
      <c r="F191" s="3">
        <f>SUMIF('BARANG TERJUAL'!$C$2:$C$974,Katalog[[#This Row],[NAMA BARANG]],'BARANG TERJUAL'!$D$2:$D$974)</f>
        <v>16</v>
      </c>
      <c r="G191" s="3">
        <f>Katalog[[#This Row],[STOK AWAL]]+Katalog[[#This Row],[BARANG MASUK]]-Katalog[[#This Row],[BARANG TERJUAL]]</f>
        <v>27</v>
      </c>
      <c r="H191" s="4">
        <f>Katalog[[#This Row],[HARGA JUAL]]*Katalog[[#This Row],[BARANG TERJUAL]]</f>
        <v>160000</v>
      </c>
    </row>
    <row r="192" spans="2:8" x14ac:dyDescent="0.35">
      <c r="B192" s="2" t="s">
        <v>42</v>
      </c>
      <c r="C192" s="5">
        <v>20000</v>
      </c>
      <c r="D192" s="3">
        <v>14</v>
      </c>
      <c r="E192" s="3">
        <f>SUMIF('BARANG MASUK'!$C$2:$C$294,Katalog[[#This Row],[NAMA BARANG]],'BARANG MASUK'!$D$2:$D$294)</f>
        <v>30</v>
      </c>
      <c r="F192" s="3">
        <f>SUMIF('BARANG TERJUAL'!$C$2:$C$974,Katalog[[#This Row],[NAMA BARANG]],'BARANG TERJUAL'!$D$2:$D$974)</f>
        <v>17</v>
      </c>
      <c r="G192" s="3">
        <f>Katalog[[#This Row],[STOK AWAL]]+Katalog[[#This Row],[BARANG MASUK]]-Katalog[[#This Row],[BARANG TERJUAL]]</f>
        <v>27</v>
      </c>
      <c r="H192" s="4">
        <f>Katalog[[#This Row],[HARGA JUAL]]*Katalog[[#This Row],[BARANG TERJUAL]]</f>
        <v>340000</v>
      </c>
    </row>
    <row r="193" spans="2:8" x14ac:dyDescent="0.35">
      <c r="B193" s="2" t="s">
        <v>41</v>
      </c>
      <c r="C193" s="5">
        <v>30000</v>
      </c>
      <c r="D193" s="3">
        <v>20</v>
      </c>
      <c r="E193" s="3">
        <f>SUMIF('BARANG MASUK'!$C$2:$C$294,Katalog[[#This Row],[NAMA BARANG]],'BARANG MASUK'!$D$2:$D$294)</f>
        <v>20</v>
      </c>
      <c r="F193" s="3">
        <f>SUMIF('BARANG TERJUAL'!$C$2:$C$974,Katalog[[#This Row],[NAMA BARANG]],'BARANG TERJUAL'!$D$2:$D$974)</f>
        <v>13</v>
      </c>
      <c r="G193" s="3">
        <f>Katalog[[#This Row],[STOK AWAL]]+Katalog[[#This Row],[BARANG MASUK]]-Katalog[[#This Row],[BARANG TERJUAL]]</f>
        <v>27</v>
      </c>
      <c r="H193" s="4">
        <f>Katalog[[#This Row],[HARGA JUAL]]*Katalog[[#This Row],[BARANG TERJUAL]]</f>
        <v>390000</v>
      </c>
    </row>
    <row r="194" spans="2:8" x14ac:dyDescent="0.35">
      <c r="B194" s="2" t="s">
        <v>89</v>
      </c>
      <c r="C194" s="5">
        <v>1700000</v>
      </c>
      <c r="D194" s="3">
        <v>85</v>
      </c>
      <c r="E194" s="3">
        <f>SUMIF('BARANG MASUK'!$C$2:$C$294,Katalog[[#This Row],[NAMA BARANG]],'BARANG MASUK'!$D$2:$D$294)</f>
        <v>0</v>
      </c>
      <c r="F194" s="3">
        <f>SUMIF('BARANG TERJUAL'!$C$2:$C$974,Katalog[[#This Row],[NAMA BARANG]],'BARANG TERJUAL'!$D$2:$D$974)</f>
        <v>2</v>
      </c>
      <c r="G194" s="3">
        <f>Katalog[[#This Row],[STOK AWAL]]+Katalog[[#This Row],[BARANG MASUK]]-Katalog[[#This Row],[BARANG TERJUAL]]</f>
        <v>83</v>
      </c>
      <c r="H194" s="4">
        <f>Katalog[[#This Row],[HARGA JUAL]]*Katalog[[#This Row],[BARANG TERJUAL]]</f>
        <v>3400000</v>
      </c>
    </row>
    <row r="195" spans="2:8" x14ac:dyDescent="0.35">
      <c r="B195" s="2" t="s">
        <v>90</v>
      </c>
      <c r="C195" s="5">
        <v>1000000</v>
      </c>
      <c r="D195" s="3">
        <v>83</v>
      </c>
      <c r="E195" s="3">
        <f>SUMIF('BARANG MASUK'!$C$2:$C$294,Katalog[[#This Row],[NAMA BARANG]],'BARANG MASUK'!$D$2:$D$294)</f>
        <v>0</v>
      </c>
      <c r="F195" s="3">
        <f>SUMIF('BARANG TERJUAL'!$C$2:$C$974,Katalog[[#This Row],[NAMA BARANG]],'BARANG TERJUAL'!$D$2:$D$974)</f>
        <v>2</v>
      </c>
      <c r="G195" s="3">
        <f>Katalog[[#This Row],[STOK AWAL]]+Katalog[[#This Row],[BARANG MASUK]]-Katalog[[#This Row],[BARANG TERJUAL]]</f>
        <v>81</v>
      </c>
      <c r="H195" s="4">
        <f>Katalog[[#This Row],[HARGA JUAL]]*Katalog[[#This Row],[BARANG TERJUAL]]</f>
        <v>2000000</v>
      </c>
    </row>
    <row r="196" spans="2:8" x14ac:dyDescent="0.35">
      <c r="B196" s="2" t="s">
        <v>88</v>
      </c>
      <c r="C196" s="5">
        <v>2000000</v>
      </c>
      <c r="D196" s="3">
        <v>80</v>
      </c>
      <c r="E196" s="3">
        <f>SUMIF('BARANG MASUK'!$C$2:$C$294,Katalog[[#This Row],[NAMA BARANG]],'BARANG MASUK'!$D$2:$D$294)</f>
        <v>0</v>
      </c>
      <c r="F196" s="3">
        <f>SUMIF('BARANG TERJUAL'!$C$2:$C$974,Katalog[[#This Row],[NAMA BARANG]],'BARANG TERJUAL'!$D$2:$D$974)</f>
        <v>2</v>
      </c>
      <c r="G196" s="3">
        <f>Katalog[[#This Row],[STOK AWAL]]+Katalog[[#This Row],[BARANG MASUK]]-Katalog[[#This Row],[BARANG TERJUAL]]</f>
        <v>78</v>
      </c>
      <c r="H196" s="4">
        <f>Katalog[[#This Row],[HARGA JUAL]]*Katalog[[#This Row],[BARANG TERJUAL]]</f>
        <v>4000000</v>
      </c>
    </row>
    <row r="197" spans="2:8" x14ac:dyDescent="0.35">
      <c r="B197" s="2" t="s">
        <v>86</v>
      </c>
      <c r="C197" s="5">
        <v>65000</v>
      </c>
      <c r="D197" s="3">
        <v>24</v>
      </c>
      <c r="E197" s="3">
        <f>SUMIF('BARANG MASUK'!$C$2:$C$294,Katalog[[#This Row],[NAMA BARANG]],'BARANG MASUK'!$D$2:$D$294)</f>
        <v>20</v>
      </c>
      <c r="F197" s="3">
        <f>SUMIF('BARANG TERJUAL'!$C$2:$C$974,Katalog[[#This Row],[NAMA BARANG]],'BARANG TERJUAL'!$D$2:$D$974)</f>
        <v>12</v>
      </c>
      <c r="G197" s="3">
        <f>Katalog[[#This Row],[STOK AWAL]]+Katalog[[#This Row],[BARANG MASUK]]-Katalog[[#This Row],[BARANG TERJUAL]]</f>
        <v>32</v>
      </c>
      <c r="H197" s="4">
        <f>Katalog[[#This Row],[HARGA JUAL]]*Katalog[[#This Row],[BARANG TERJUAL]]</f>
        <v>780000</v>
      </c>
    </row>
    <row r="198" spans="2:8" x14ac:dyDescent="0.35">
      <c r="B198" s="2" t="s">
        <v>85</v>
      </c>
      <c r="C198" s="5">
        <v>110000</v>
      </c>
      <c r="D198" s="3">
        <v>12</v>
      </c>
      <c r="E198" s="3">
        <f>SUMIF('BARANG MASUK'!$C$2:$C$294,Katalog[[#This Row],[NAMA BARANG]],'BARANG MASUK'!$D$2:$D$294)</f>
        <v>30</v>
      </c>
      <c r="F198" s="3">
        <f>SUMIF('BARANG TERJUAL'!$C$2:$C$974,Katalog[[#This Row],[NAMA BARANG]],'BARANG TERJUAL'!$D$2:$D$974)</f>
        <v>7</v>
      </c>
      <c r="G198" s="3">
        <f>Katalog[[#This Row],[STOK AWAL]]+Katalog[[#This Row],[BARANG MASUK]]-Katalog[[#This Row],[BARANG TERJUAL]]</f>
        <v>35</v>
      </c>
      <c r="H198" s="4">
        <f>Katalog[[#This Row],[HARGA JUAL]]*Katalog[[#This Row],[BARANG TERJUAL]]</f>
        <v>770000</v>
      </c>
    </row>
    <row r="199" spans="2:8" x14ac:dyDescent="0.35">
      <c r="B199" s="9" t="s">
        <v>216</v>
      </c>
      <c r="C199" s="10">
        <v>6000</v>
      </c>
      <c r="D199" s="3">
        <v>20</v>
      </c>
      <c r="E199" s="3">
        <f>SUMIF('BARANG MASUK'!$C$2:$C$294,Katalog[[#This Row],[NAMA BARANG]],'BARANG MASUK'!$D$2:$D$294)</f>
        <v>35</v>
      </c>
      <c r="F199" s="3">
        <f>SUMIF('BARANG TERJUAL'!$C$2:$C$974,Katalog[[#This Row],[NAMA BARANG]],'BARANG TERJUAL'!$D$2:$D$974)</f>
        <v>21</v>
      </c>
      <c r="G199" s="8">
        <f>Katalog[[#This Row],[STOK AWAL]]+Katalog[[#This Row],[BARANG MASUK]]-Katalog[[#This Row],[BARANG TERJUAL]]</f>
        <v>34</v>
      </c>
      <c r="H199" s="4">
        <f>Katalog[[#This Row],[HARGA JUAL]]*Katalog[[#This Row],[BARANG TERJUAL]]</f>
        <v>126000</v>
      </c>
    </row>
    <row r="200" spans="2:8" x14ac:dyDescent="0.35">
      <c r="B200" s="11" t="s">
        <v>217</v>
      </c>
      <c r="C200" s="10">
        <v>9000</v>
      </c>
      <c r="D200" s="3">
        <v>25</v>
      </c>
      <c r="E200" s="3">
        <f>SUMIF('BARANG MASUK'!$C$2:$C$294,Katalog[[#This Row],[NAMA BARANG]],'BARANG MASUK'!$D$2:$D$294)</f>
        <v>35</v>
      </c>
      <c r="F200" s="3">
        <f>SUMIF('BARANG TERJUAL'!$C$2:$C$974,Katalog[[#This Row],[NAMA BARANG]],'BARANG TERJUAL'!$D$2:$D$974)</f>
        <v>33</v>
      </c>
      <c r="G200" s="3">
        <f>Katalog[[#This Row],[STOK AWAL]]+Katalog[[#This Row],[BARANG MASUK]]-Katalog[[#This Row],[BARANG TERJUAL]]</f>
        <v>27</v>
      </c>
      <c r="H200" s="4">
        <f>Katalog[[#This Row],[HARGA JUAL]]*Katalog[[#This Row],[BARANG TERJUAL]]</f>
        <v>297000</v>
      </c>
    </row>
    <row r="201" spans="2:8" x14ac:dyDescent="0.35">
      <c r="B201" s="2" t="s">
        <v>67</v>
      </c>
      <c r="C201" s="5">
        <v>15000</v>
      </c>
      <c r="D201" s="3">
        <v>30</v>
      </c>
      <c r="E201" s="3">
        <f>SUMIF('BARANG MASUK'!$C$2:$C$294,Katalog[[#This Row],[NAMA BARANG]],'BARANG MASUK'!$D$2:$D$294)</f>
        <v>20</v>
      </c>
      <c r="F201" s="3">
        <f>SUMIF('BARANG TERJUAL'!$C$2:$C$974,Katalog[[#This Row],[NAMA BARANG]],'BARANG TERJUAL'!$D$2:$D$974)</f>
        <v>13</v>
      </c>
      <c r="G201" s="3">
        <f>Katalog[[#This Row],[STOK AWAL]]+Katalog[[#This Row],[BARANG MASUK]]-Katalog[[#This Row],[BARANG TERJUAL]]</f>
        <v>37</v>
      </c>
      <c r="H201" s="4">
        <f>Katalog[[#This Row],[HARGA JUAL]]*Katalog[[#This Row],[BARANG TERJUAL]]</f>
        <v>195000</v>
      </c>
    </row>
    <row r="202" spans="2:8" x14ac:dyDescent="0.35">
      <c r="B202" s="1" t="s">
        <v>7</v>
      </c>
      <c r="C202" s="5">
        <v>35000</v>
      </c>
      <c r="D202" s="3">
        <v>35</v>
      </c>
      <c r="E202" s="3">
        <f>SUMIF('BARANG MASUK'!$C$2:$C$294,Katalog[[#This Row],[NAMA BARANG]],'BARANG MASUK'!$D$2:$D$294)</f>
        <v>30</v>
      </c>
      <c r="F202" s="3">
        <f>SUMIF('BARANG TERJUAL'!$C$2:$C$974,Katalog[[#This Row],[NAMA BARANG]],'BARANG TERJUAL'!$D$2:$D$974)</f>
        <v>22</v>
      </c>
      <c r="G202" s="3">
        <f>Katalog[[#This Row],[STOK AWAL]]+Katalog[[#This Row],[BARANG MASUK]]-Katalog[[#This Row],[BARANG TERJUAL]]</f>
        <v>43</v>
      </c>
      <c r="H202" s="4">
        <f>Katalog[[#This Row],[HARGA JUAL]]*Katalog[[#This Row],[BARANG TERJUAL]]</f>
        <v>770000</v>
      </c>
    </row>
    <row r="203" spans="2:8" x14ac:dyDescent="0.35">
      <c r="B203" s="2" t="s">
        <v>53</v>
      </c>
      <c r="C203" s="5">
        <v>5000</v>
      </c>
      <c r="D203" s="3">
        <v>13</v>
      </c>
      <c r="E203" s="3">
        <f>SUMIF('BARANG MASUK'!$C$2:$C$294,Katalog[[#This Row],[NAMA BARANG]],'BARANG MASUK'!$D$2:$D$294)</f>
        <v>50</v>
      </c>
      <c r="F203" s="3">
        <f>SUMIF('BARANG TERJUAL'!$C$2:$C$974,Katalog[[#This Row],[NAMA BARANG]],'BARANG TERJUAL'!$D$2:$D$974)</f>
        <v>18</v>
      </c>
      <c r="G203" s="3">
        <f>Katalog[[#This Row],[STOK AWAL]]+Katalog[[#This Row],[BARANG MASUK]]-Katalog[[#This Row],[BARANG TERJUAL]]</f>
        <v>45</v>
      </c>
      <c r="H203" s="4">
        <f>Katalog[[#This Row],[HARGA JUAL]]*Katalog[[#This Row],[BARANG TERJUAL]]</f>
        <v>90000</v>
      </c>
    </row>
    <row r="204" spans="2:8" x14ac:dyDescent="0.35">
      <c r="B204" s="2" t="s">
        <v>54</v>
      </c>
      <c r="C204" s="5">
        <v>5000</v>
      </c>
      <c r="D204" s="3">
        <v>18</v>
      </c>
      <c r="E204" s="3">
        <f>SUMIF('BARANG MASUK'!$C$2:$C$294,Katalog[[#This Row],[NAMA BARANG]],'BARANG MASUK'!$D$2:$D$294)</f>
        <v>50</v>
      </c>
      <c r="F204" s="3">
        <f>SUMIF('BARANG TERJUAL'!$C$2:$C$974,Katalog[[#This Row],[NAMA BARANG]],'BARANG TERJUAL'!$D$2:$D$974)</f>
        <v>14</v>
      </c>
      <c r="G204" s="3">
        <f>Katalog[[#This Row],[STOK AWAL]]+Katalog[[#This Row],[BARANG MASUK]]-Katalog[[#This Row],[BARANG TERJUAL]]</f>
        <v>54</v>
      </c>
      <c r="H204" s="4">
        <f>Katalog[[#This Row],[HARGA JUAL]]*Katalog[[#This Row],[BARANG TERJUAL]]</f>
        <v>70000</v>
      </c>
    </row>
    <row r="205" spans="2:8" x14ac:dyDescent="0.35">
      <c r="B205" s="2" t="s">
        <v>51</v>
      </c>
      <c r="C205" s="5">
        <v>8000</v>
      </c>
      <c r="D205" s="3">
        <v>14</v>
      </c>
      <c r="E205" s="3">
        <f>SUMIF('BARANG MASUK'!$C$2:$C$294,Katalog[[#This Row],[NAMA BARANG]],'BARANG MASUK'!$D$2:$D$294)</f>
        <v>50</v>
      </c>
      <c r="F205" s="3">
        <f>SUMIF('BARANG TERJUAL'!$C$2:$C$974,Katalog[[#This Row],[NAMA BARANG]],'BARANG TERJUAL'!$D$2:$D$974)</f>
        <v>18</v>
      </c>
      <c r="G205" s="3">
        <f>Katalog[[#This Row],[STOK AWAL]]+Katalog[[#This Row],[BARANG MASUK]]-Katalog[[#This Row],[BARANG TERJUAL]]</f>
        <v>46</v>
      </c>
      <c r="H205" s="4">
        <f>Katalog[[#This Row],[HARGA JUAL]]*Katalog[[#This Row],[BARANG TERJUAL]]</f>
        <v>144000</v>
      </c>
    </row>
    <row r="206" spans="2:8" x14ac:dyDescent="0.35">
      <c r="B206" s="2" t="s">
        <v>52</v>
      </c>
      <c r="C206" s="5">
        <v>15000</v>
      </c>
      <c r="D206" s="3">
        <v>17</v>
      </c>
      <c r="E206" s="3">
        <f>SUMIF('BARANG MASUK'!$C$2:$C$294,Katalog[[#This Row],[NAMA BARANG]],'BARANG MASUK'!$D$2:$D$294)</f>
        <v>20</v>
      </c>
      <c r="F206" s="3">
        <f>SUMIF('BARANG TERJUAL'!$C$2:$C$974,Katalog[[#This Row],[NAMA BARANG]],'BARANG TERJUAL'!$D$2:$D$974)</f>
        <v>14</v>
      </c>
      <c r="G206" s="3">
        <f>Katalog[[#This Row],[STOK AWAL]]+Katalog[[#This Row],[BARANG MASUK]]-Katalog[[#This Row],[BARANG TERJUAL]]</f>
        <v>23</v>
      </c>
      <c r="H206" s="4">
        <f>Katalog[[#This Row],[HARGA JUAL]]*Katalog[[#This Row],[BARANG TERJUAL]]</f>
        <v>210000</v>
      </c>
    </row>
    <row r="207" spans="2:8" s="12" customFormat="1" x14ac:dyDescent="0.35">
      <c r="B207" s="2" t="s">
        <v>50</v>
      </c>
      <c r="C207" s="5">
        <v>10000</v>
      </c>
      <c r="D207" s="3">
        <v>12</v>
      </c>
      <c r="E207" s="3">
        <f>SUMIF('BARANG MASUK'!$C$2:$C$294,Katalog[[#This Row],[NAMA BARANG]],'BARANG MASUK'!$D$2:$D$294)</f>
        <v>50</v>
      </c>
      <c r="F207" s="3">
        <f>SUMIF('BARANG TERJUAL'!$C$2:$C$974,Katalog[[#This Row],[NAMA BARANG]],'BARANG TERJUAL'!$D$2:$D$974)</f>
        <v>15</v>
      </c>
      <c r="G207" s="3">
        <f>Katalog[[#This Row],[STOK AWAL]]+Katalog[[#This Row],[BARANG MASUK]]-Katalog[[#This Row],[BARANG TERJUAL]]</f>
        <v>47</v>
      </c>
      <c r="H207" s="7">
        <f>Katalog[[#This Row],[HARGA JUAL]]*Katalog[[#This Row],[BARANG TERJUAL]]</f>
        <v>150000</v>
      </c>
    </row>
    <row r="208" spans="2:8" x14ac:dyDescent="0.35">
      <c r="B208" s="13" t="s">
        <v>117</v>
      </c>
      <c r="C208" s="14">
        <f>SUM(C2:C207)</f>
        <v>13581000</v>
      </c>
      <c r="D208" s="15">
        <f t="shared" ref="D208:H208" si="0">SUM(D2:D207)</f>
        <v>4871</v>
      </c>
      <c r="E208" s="15">
        <f>SUM(E2:E207)</f>
        <v>8306</v>
      </c>
      <c r="F208" s="15">
        <f>SUM(F2:F207)</f>
        <v>2475</v>
      </c>
      <c r="G208" s="15">
        <f t="shared" si="0"/>
        <v>10702</v>
      </c>
      <c r="H208" s="14">
        <f t="shared" si="0"/>
        <v>76018000</v>
      </c>
    </row>
  </sheetData>
  <conditionalFormatting sqref="G2:G207">
    <cfRule type="cellIs" dxfId="21" priority="8" operator="lessThan">
      <formula>35</formula>
    </cfRule>
    <cfRule type="cellIs" dxfId="20" priority="9" operator="greaterThan">
      <formula>35</formula>
    </cfRule>
    <cfRule type="cellIs" dxfId="19" priority="10" operator="greaterThan">
      <formula>35</formula>
    </cfRule>
    <cfRule type="cellIs" dxfId="18" priority="11" operator="lessThan">
      <formula>20</formula>
    </cfRule>
    <cfRule type="cellIs" dxfId="17" priority="12" operator="greaterThan">
      <formula>20</formula>
    </cfRule>
    <cfRule type="cellIs" dxfId="16" priority="14" operator="greaterThan">
      <formula>12</formula>
    </cfRule>
    <cfRule type="cellIs" dxfId="15" priority="15" operator="greaterThan">
      <formula>12</formula>
    </cfRule>
    <cfRule type="cellIs" dxfId="14" priority="16" operator="lessThan">
      <formula>12</formula>
    </cfRule>
    <cfRule type="cellIs" dxfId="13" priority="20" operator="lessThan">
      <formula>13</formula>
    </cfRule>
    <cfRule type="cellIs" dxfId="12" priority="21" operator="greaterThan">
      <formula>12</formula>
    </cfRule>
    <cfRule type="cellIs" dxfId="11" priority="22" operator="lessThan">
      <formula>12</formula>
    </cfRule>
  </conditionalFormatting>
  <conditionalFormatting sqref="G2:G25">
    <cfRule type="cellIs" dxfId="10" priority="17" operator="lessThan">
      <formula>12</formula>
    </cfRule>
    <cfRule type="cellIs" dxfId="9" priority="18" operator="greaterThan">
      <formula>12</formula>
    </cfRule>
    <cfRule type="cellIs" dxfId="8" priority="19" operator="greaterThan">
      <formula>12</formula>
    </cfRule>
  </conditionalFormatting>
  <conditionalFormatting sqref="I85">
    <cfRule type="cellIs" dxfId="7" priority="13" operator="greaterThan">
      <formula>20</formula>
    </cfRule>
  </conditionalFormatting>
  <conditionalFormatting sqref="G2:G208">
    <cfRule type="cellIs" dxfId="6" priority="3" operator="lessThan">
      <formula>15</formula>
    </cfRule>
    <cfRule type="cellIs" dxfId="5" priority="4" operator="greaterThan">
      <formula>20</formula>
    </cfRule>
    <cfRule type="cellIs" dxfId="4" priority="5" operator="greaterThan">
      <formula>15</formula>
    </cfRule>
    <cfRule type="cellIs" dxfId="3" priority="6" operator="lessThan">
      <formula>15</formula>
    </cfRule>
    <cfRule type="cellIs" dxfId="2" priority="7" operator="lessThan">
      <formula>15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7BF7D-98CC-4D39-88E0-382E62F44F48}">
  <sheetPr codeName="Sheet1"/>
  <dimension ref="B1:D192"/>
  <sheetViews>
    <sheetView zoomScale="66" zoomScaleNormal="58" workbookViewId="0">
      <selection activeCell="B1" sqref="B1:D11"/>
    </sheetView>
  </sheetViews>
  <sheetFormatPr defaultRowHeight="14.5" x14ac:dyDescent="0.35"/>
  <cols>
    <col min="1" max="1" width="3.1796875" customWidth="1"/>
    <col min="2" max="2" width="15.36328125" customWidth="1"/>
    <col min="3" max="3" width="26.08984375" customWidth="1"/>
    <col min="4" max="4" width="17.7265625" customWidth="1"/>
    <col min="5" max="5" width="11.54296875" customWidth="1"/>
  </cols>
  <sheetData>
    <row r="1" spans="2:4" x14ac:dyDescent="0.35">
      <c r="B1" t="s">
        <v>114</v>
      </c>
      <c r="C1" t="s">
        <v>0</v>
      </c>
      <c r="D1" t="s">
        <v>115</v>
      </c>
    </row>
    <row r="2" spans="2:4" x14ac:dyDescent="0.35">
      <c r="B2" s="6">
        <v>45872</v>
      </c>
      <c r="C2" t="s">
        <v>8</v>
      </c>
      <c r="D2">
        <v>30</v>
      </c>
    </row>
    <row r="3" spans="2:4" x14ac:dyDescent="0.35">
      <c r="B3" s="6">
        <v>45872</v>
      </c>
      <c r="C3" t="s">
        <v>12</v>
      </c>
      <c r="D3">
        <v>25</v>
      </c>
    </row>
    <row r="4" spans="2:4" x14ac:dyDescent="0.35">
      <c r="B4" s="6">
        <v>45872</v>
      </c>
      <c r="C4" t="s">
        <v>11</v>
      </c>
      <c r="D4">
        <v>25</v>
      </c>
    </row>
    <row r="5" spans="2:4" x14ac:dyDescent="0.35">
      <c r="B5" s="6">
        <v>45872</v>
      </c>
      <c r="C5" t="s">
        <v>7</v>
      </c>
      <c r="D5">
        <v>30</v>
      </c>
    </row>
    <row r="6" spans="2:4" x14ac:dyDescent="0.35">
      <c r="B6" s="6">
        <v>45872</v>
      </c>
      <c r="C6" t="s">
        <v>17</v>
      </c>
      <c r="D6">
        <v>20</v>
      </c>
    </row>
    <row r="7" spans="2:4" x14ac:dyDescent="0.35">
      <c r="B7" s="6">
        <v>45872</v>
      </c>
      <c r="C7" t="s">
        <v>29</v>
      </c>
      <c r="D7">
        <v>20</v>
      </c>
    </row>
    <row r="8" spans="2:4" x14ac:dyDescent="0.35">
      <c r="B8" s="6">
        <v>45872</v>
      </c>
      <c r="C8" t="s">
        <v>23</v>
      </c>
      <c r="D8">
        <v>20</v>
      </c>
    </row>
    <row r="9" spans="2:4" x14ac:dyDescent="0.35">
      <c r="B9" s="6">
        <v>45872</v>
      </c>
      <c r="C9" t="s">
        <v>84</v>
      </c>
      <c r="D9">
        <v>50</v>
      </c>
    </row>
    <row r="10" spans="2:4" x14ac:dyDescent="0.35">
      <c r="B10" s="6">
        <v>45872</v>
      </c>
      <c r="C10" t="s">
        <v>85</v>
      </c>
      <c r="D10">
        <v>30</v>
      </c>
    </row>
    <row r="11" spans="2:4" x14ac:dyDescent="0.35">
      <c r="B11" s="6">
        <v>45872</v>
      </c>
      <c r="C11" t="s">
        <v>9</v>
      </c>
      <c r="D11">
        <v>40</v>
      </c>
    </row>
    <row r="12" spans="2:4" x14ac:dyDescent="0.35">
      <c r="B12" s="6">
        <v>45872</v>
      </c>
      <c r="C12" t="s">
        <v>14</v>
      </c>
      <c r="D12">
        <v>30</v>
      </c>
    </row>
    <row r="13" spans="2:4" x14ac:dyDescent="0.35">
      <c r="B13" s="6">
        <v>45872</v>
      </c>
      <c r="C13" t="s">
        <v>15</v>
      </c>
      <c r="D13">
        <v>20</v>
      </c>
    </row>
    <row r="14" spans="2:4" x14ac:dyDescent="0.35">
      <c r="B14" s="6">
        <v>45872</v>
      </c>
      <c r="C14" t="s">
        <v>113</v>
      </c>
      <c r="D14">
        <v>50</v>
      </c>
    </row>
    <row r="15" spans="2:4" x14ac:dyDescent="0.35">
      <c r="B15" s="6">
        <v>45872</v>
      </c>
      <c r="C15" t="s">
        <v>112</v>
      </c>
      <c r="D15">
        <v>50</v>
      </c>
    </row>
    <row r="16" spans="2:4" x14ac:dyDescent="0.35">
      <c r="B16" s="6">
        <v>45872</v>
      </c>
      <c r="C16" t="s">
        <v>111</v>
      </c>
      <c r="D16">
        <v>20</v>
      </c>
    </row>
    <row r="17" spans="2:4" x14ac:dyDescent="0.35">
      <c r="B17" s="6">
        <v>45872</v>
      </c>
      <c r="C17" t="s">
        <v>96</v>
      </c>
      <c r="D17">
        <v>20</v>
      </c>
    </row>
    <row r="18" spans="2:4" x14ac:dyDescent="0.35">
      <c r="B18" s="6">
        <v>45872</v>
      </c>
      <c r="C18" t="s">
        <v>109</v>
      </c>
      <c r="D18">
        <v>20</v>
      </c>
    </row>
    <row r="19" spans="2:4" x14ac:dyDescent="0.35">
      <c r="B19" s="6">
        <v>45872</v>
      </c>
      <c r="C19" t="s">
        <v>108</v>
      </c>
      <c r="D19">
        <v>20</v>
      </c>
    </row>
    <row r="20" spans="2:4" x14ac:dyDescent="0.35">
      <c r="B20" s="6">
        <v>45872</v>
      </c>
      <c r="C20" t="s">
        <v>55</v>
      </c>
      <c r="D20">
        <v>30</v>
      </c>
    </row>
    <row r="21" spans="2:4" x14ac:dyDescent="0.35">
      <c r="B21" s="6">
        <v>45872</v>
      </c>
      <c r="C21" t="s">
        <v>57</v>
      </c>
      <c r="D21">
        <v>30</v>
      </c>
    </row>
    <row r="22" spans="2:4" x14ac:dyDescent="0.35">
      <c r="B22" s="6">
        <v>45872</v>
      </c>
      <c r="C22" t="s">
        <v>60</v>
      </c>
      <c r="D22">
        <v>30</v>
      </c>
    </row>
    <row r="23" spans="2:4" x14ac:dyDescent="0.35">
      <c r="B23" s="6">
        <v>45872</v>
      </c>
      <c r="C23" t="s">
        <v>58</v>
      </c>
      <c r="D23">
        <v>50</v>
      </c>
    </row>
    <row r="24" spans="2:4" x14ac:dyDescent="0.35">
      <c r="B24" s="6">
        <v>45872</v>
      </c>
      <c r="C24" t="s">
        <v>82</v>
      </c>
      <c r="D24">
        <v>50</v>
      </c>
    </row>
    <row r="25" spans="2:4" x14ac:dyDescent="0.35">
      <c r="B25" s="6">
        <v>45872</v>
      </c>
      <c r="C25" t="s">
        <v>93</v>
      </c>
      <c r="D25">
        <v>30</v>
      </c>
    </row>
    <row r="26" spans="2:4" x14ac:dyDescent="0.35">
      <c r="B26" s="6">
        <v>45872</v>
      </c>
      <c r="C26" t="s">
        <v>87</v>
      </c>
      <c r="D26">
        <v>30</v>
      </c>
    </row>
    <row r="27" spans="2:4" x14ac:dyDescent="0.35">
      <c r="B27" s="6">
        <v>45872</v>
      </c>
      <c r="C27" t="s">
        <v>37</v>
      </c>
      <c r="D27">
        <v>100</v>
      </c>
    </row>
    <row r="28" spans="2:4" x14ac:dyDescent="0.35">
      <c r="B28" s="6">
        <v>45872</v>
      </c>
      <c r="C28" t="s">
        <v>35</v>
      </c>
      <c r="D28">
        <v>100</v>
      </c>
    </row>
    <row r="29" spans="2:4" x14ac:dyDescent="0.35">
      <c r="B29" s="6">
        <v>45872</v>
      </c>
      <c r="C29" t="s">
        <v>36</v>
      </c>
      <c r="D29">
        <v>100</v>
      </c>
    </row>
    <row r="30" spans="2:4" x14ac:dyDescent="0.35">
      <c r="B30" s="6">
        <v>45872</v>
      </c>
      <c r="C30" t="s">
        <v>46</v>
      </c>
      <c r="D30">
        <v>50</v>
      </c>
    </row>
    <row r="31" spans="2:4" x14ac:dyDescent="0.35">
      <c r="B31" s="6">
        <v>45872</v>
      </c>
      <c r="C31" t="s">
        <v>49</v>
      </c>
      <c r="D31">
        <v>50</v>
      </c>
    </row>
    <row r="32" spans="2:4" x14ac:dyDescent="0.35">
      <c r="B32" s="6">
        <v>45872</v>
      </c>
      <c r="C32" t="s">
        <v>45</v>
      </c>
      <c r="D32">
        <v>50</v>
      </c>
    </row>
    <row r="33" spans="2:4" x14ac:dyDescent="0.35">
      <c r="B33" s="6">
        <v>45872</v>
      </c>
      <c r="C33" t="s">
        <v>39</v>
      </c>
      <c r="D33">
        <v>50</v>
      </c>
    </row>
    <row r="34" spans="2:4" x14ac:dyDescent="0.35">
      <c r="B34" s="6">
        <v>45872</v>
      </c>
      <c r="C34" t="s">
        <v>43</v>
      </c>
      <c r="D34">
        <v>30</v>
      </c>
    </row>
    <row r="35" spans="2:4" x14ac:dyDescent="0.35">
      <c r="B35" s="6">
        <v>45872</v>
      </c>
      <c r="C35" t="s">
        <v>44</v>
      </c>
      <c r="D35">
        <v>30</v>
      </c>
    </row>
    <row r="36" spans="2:4" x14ac:dyDescent="0.35">
      <c r="B36" s="6">
        <v>45872</v>
      </c>
      <c r="C36" t="s">
        <v>42</v>
      </c>
      <c r="D36">
        <v>30</v>
      </c>
    </row>
    <row r="37" spans="2:4" x14ac:dyDescent="0.35">
      <c r="B37" s="6">
        <v>45872</v>
      </c>
      <c r="C37" t="s">
        <v>50</v>
      </c>
      <c r="D37">
        <v>50</v>
      </c>
    </row>
    <row r="38" spans="2:4" x14ac:dyDescent="0.35">
      <c r="B38" s="6">
        <v>45872</v>
      </c>
      <c r="C38" t="s">
        <v>51</v>
      </c>
      <c r="D38">
        <v>50</v>
      </c>
    </row>
    <row r="39" spans="2:4" x14ac:dyDescent="0.35">
      <c r="B39" s="6">
        <v>45872</v>
      </c>
      <c r="C39" t="s">
        <v>54</v>
      </c>
      <c r="D39">
        <v>50</v>
      </c>
    </row>
    <row r="40" spans="2:4" x14ac:dyDescent="0.35">
      <c r="B40" s="6">
        <v>45872</v>
      </c>
      <c r="C40" t="s">
        <v>53</v>
      </c>
      <c r="D40">
        <v>50</v>
      </c>
    </row>
    <row r="41" spans="2:4" x14ac:dyDescent="0.35">
      <c r="B41" s="6">
        <v>45882</v>
      </c>
      <c r="C41" t="s">
        <v>159</v>
      </c>
      <c r="D41">
        <v>60</v>
      </c>
    </row>
    <row r="42" spans="2:4" x14ac:dyDescent="0.35">
      <c r="B42" s="6">
        <v>45882</v>
      </c>
      <c r="C42" t="s">
        <v>157</v>
      </c>
      <c r="D42">
        <v>50</v>
      </c>
    </row>
    <row r="43" spans="2:4" x14ac:dyDescent="0.35">
      <c r="B43" s="6">
        <v>45882</v>
      </c>
      <c r="C43" t="s">
        <v>200</v>
      </c>
      <c r="D43">
        <v>40</v>
      </c>
    </row>
    <row r="44" spans="2:4" x14ac:dyDescent="0.35">
      <c r="B44" s="6">
        <v>45882</v>
      </c>
      <c r="C44" t="s">
        <v>119</v>
      </c>
      <c r="D44">
        <v>50</v>
      </c>
    </row>
    <row r="45" spans="2:4" x14ac:dyDescent="0.35">
      <c r="B45" s="6">
        <v>45882</v>
      </c>
      <c r="C45" t="s">
        <v>118</v>
      </c>
      <c r="D45">
        <v>50</v>
      </c>
    </row>
    <row r="46" spans="2:4" x14ac:dyDescent="0.35">
      <c r="B46" s="6">
        <v>45882</v>
      </c>
      <c r="C46" s="9" t="s">
        <v>202</v>
      </c>
      <c r="D46">
        <v>60</v>
      </c>
    </row>
    <row r="47" spans="2:4" x14ac:dyDescent="0.35">
      <c r="B47" s="6">
        <v>45882</v>
      </c>
      <c r="C47" s="9" t="s">
        <v>203</v>
      </c>
      <c r="D47">
        <v>60</v>
      </c>
    </row>
    <row r="48" spans="2:4" x14ac:dyDescent="0.35">
      <c r="B48" s="6">
        <v>45882</v>
      </c>
      <c r="C48" s="9" t="s">
        <v>204</v>
      </c>
      <c r="D48">
        <v>60</v>
      </c>
    </row>
    <row r="49" spans="2:4" x14ac:dyDescent="0.35">
      <c r="B49" s="6">
        <v>45882</v>
      </c>
      <c r="C49" s="9" t="s">
        <v>205</v>
      </c>
      <c r="D49">
        <v>60</v>
      </c>
    </row>
    <row r="50" spans="2:4" x14ac:dyDescent="0.35">
      <c r="B50" s="6">
        <v>45882</v>
      </c>
      <c r="C50" s="9" t="s">
        <v>210</v>
      </c>
      <c r="D50">
        <v>60</v>
      </c>
    </row>
    <row r="51" spans="2:4" x14ac:dyDescent="0.35">
      <c r="B51" s="6">
        <v>45882</v>
      </c>
      <c r="C51" s="9" t="s">
        <v>211</v>
      </c>
      <c r="D51">
        <v>60</v>
      </c>
    </row>
    <row r="52" spans="2:4" x14ac:dyDescent="0.35">
      <c r="B52" s="6">
        <v>45882</v>
      </c>
      <c r="C52" s="9" t="s">
        <v>212</v>
      </c>
      <c r="D52">
        <v>60</v>
      </c>
    </row>
    <row r="53" spans="2:4" x14ac:dyDescent="0.35">
      <c r="B53" s="6">
        <v>45882</v>
      </c>
      <c r="C53" s="9" t="s">
        <v>181</v>
      </c>
      <c r="D53">
        <v>50</v>
      </c>
    </row>
    <row r="54" spans="2:4" x14ac:dyDescent="0.35">
      <c r="B54" s="6">
        <v>45882</v>
      </c>
      <c r="C54" s="9" t="s">
        <v>184</v>
      </c>
      <c r="D54">
        <v>40</v>
      </c>
    </row>
    <row r="55" spans="2:4" x14ac:dyDescent="0.35">
      <c r="B55" s="6">
        <v>45882</v>
      </c>
      <c r="C55" s="9" t="s">
        <v>183</v>
      </c>
      <c r="D55">
        <v>40</v>
      </c>
    </row>
    <row r="56" spans="2:4" x14ac:dyDescent="0.35">
      <c r="B56" s="6">
        <v>45882</v>
      </c>
      <c r="C56" s="9" t="s">
        <v>187</v>
      </c>
      <c r="D56">
        <v>60</v>
      </c>
    </row>
    <row r="57" spans="2:4" x14ac:dyDescent="0.35">
      <c r="B57" s="6">
        <v>45882</v>
      </c>
      <c r="C57" s="9" t="s">
        <v>188</v>
      </c>
      <c r="D57">
        <v>60</v>
      </c>
    </row>
    <row r="58" spans="2:4" x14ac:dyDescent="0.35">
      <c r="B58" s="6">
        <v>45882</v>
      </c>
      <c r="C58" s="9" t="s">
        <v>185</v>
      </c>
      <c r="D58">
        <v>60</v>
      </c>
    </row>
    <row r="59" spans="2:4" x14ac:dyDescent="0.35">
      <c r="B59" s="6">
        <v>45882</v>
      </c>
      <c r="C59" s="9" t="s">
        <v>186</v>
      </c>
      <c r="D59">
        <v>50</v>
      </c>
    </row>
    <row r="60" spans="2:4" x14ac:dyDescent="0.35">
      <c r="B60" s="6">
        <v>45882</v>
      </c>
      <c r="C60" s="9" t="s">
        <v>182</v>
      </c>
      <c r="D60">
        <v>250</v>
      </c>
    </row>
    <row r="61" spans="2:4" x14ac:dyDescent="0.35">
      <c r="B61" s="6">
        <v>45882</v>
      </c>
      <c r="C61" s="9" t="s">
        <v>191</v>
      </c>
      <c r="D61">
        <v>60</v>
      </c>
    </row>
    <row r="62" spans="2:4" x14ac:dyDescent="0.35">
      <c r="B62" s="6">
        <v>45882</v>
      </c>
      <c r="C62" s="9" t="s">
        <v>192</v>
      </c>
      <c r="D62">
        <v>60</v>
      </c>
    </row>
    <row r="63" spans="2:4" x14ac:dyDescent="0.35">
      <c r="B63" s="6">
        <v>45882</v>
      </c>
      <c r="C63" s="9" t="s">
        <v>189</v>
      </c>
      <c r="D63">
        <v>60</v>
      </c>
    </row>
    <row r="64" spans="2:4" x14ac:dyDescent="0.35">
      <c r="B64" s="6">
        <v>45882</v>
      </c>
      <c r="C64" s="9" t="s">
        <v>190</v>
      </c>
      <c r="D64">
        <v>60</v>
      </c>
    </row>
    <row r="65" spans="2:4" x14ac:dyDescent="0.35">
      <c r="B65" s="6">
        <v>45882</v>
      </c>
      <c r="C65" s="9" t="s">
        <v>179</v>
      </c>
      <c r="D65">
        <v>300</v>
      </c>
    </row>
    <row r="66" spans="2:4" x14ac:dyDescent="0.35">
      <c r="B66" s="6">
        <v>45882</v>
      </c>
      <c r="C66" s="9" t="s">
        <v>139</v>
      </c>
      <c r="D66">
        <v>100</v>
      </c>
    </row>
    <row r="67" spans="2:4" x14ac:dyDescent="0.35">
      <c r="B67" s="6">
        <v>45882</v>
      </c>
      <c r="C67" s="9" t="s">
        <v>145</v>
      </c>
      <c r="D67">
        <v>100</v>
      </c>
    </row>
    <row r="68" spans="2:4" x14ac:dyDescent="0.35">
      <c r="B68" s="6">
        <v>45882</v>
      </c>
      <c r="C68" s="9" t="s">
        <v>147</v>
      </c>
      <c r="D68">
        <v>100</v>
      </c>
    </row>
    <row r="69" spans="2:4" x14ac:dyDescent="0.35">
      <c r="B69" s="6">
        <v>45882</v>
      </c>
      <c r="C69" s="9" t="s">
        <v>143</v>
      </c>
      <c r="D69">
        <v>50</v>
      </c>
    </row>
    <row r="70" spans="2:4" x14ac:dyDescent="0.35">
      <c r="B70" s="6">
        <v>45882</v>
      </c>
      <c r="C70" s="9" t="s">
        <v>165</v>
      </c>
      <c r="D70">
        <v>50</v>
      </c>
    </row>
    <row r="71" spans="2:4" x14ac:dyDescent="0.35">
      <c r="B71" s="6">
        <v>45882</v>
      </c>
      <c r="C71" s="9" t="s">
        <v>141</v>
      </c>
      <c r="D71">
        <v>30</v>
      </c>
    </row>
    <row r="72" spans="2:4" x14ac:dyDescent="0.35">
      <c r="B72" s="6">
        <v>45882</v>
      </c>
      <c r="C72" s="9" t="s">
        <v>153</v>
      </c>
      <c r="D72">
        <v>100</v>
      </c>
    </row>
    <row r="73" spans="2:4" x14ac:dyDescent="0.35">
      <c r="B73" s="6">
        <v>45882</v>
      </c>
      <c r="C73" s="9" t="s">
        <v>155</v>
      </c>
      <c r="D73">
        <v>50</v>
      </c>
    </row>
    <row r="74" spans="2:4" x14ac:dyDescent="0.35">
      <c r="B74" s="6">
        <v>45882</v>
      </c>
      <c r="C74" s="9" t="s">
        <v>137</v>
      </c>
      <c r="D74">
        <v>100</v>
      </c>
    </row>
    <row r="75" spans="2:4" x14ac:dyDescent="0.35">
      <c r="B75" s="6">
        <v>45882</v>
      </c>
      <c r="C75" s="9" t="s">
        <v>151</v>
      </c>
      <c r="D75">
        <v>50</v>
      </c>
    </row>
    <row r="76" spans="2:4" x14ac:dyDescent="0.35">
      <c r="B76" s="6">
        <v>45882</v>
      </c>
      <c r="C76" s="9" t="s">
        <v>170</v>
      </c>
      <c r="D76">
        <v>50</v>
      </c>
    </row>
    <row r="77" spans="2:4" x14ac:dyDescent="0.35">
      <c r="B77" s="6">
        <v>45882</v>
      </c>
      <c r="C77" s="9" t="s">
        <v>171</v>
      </c>
      <c r="D77">
        <v>50</v>
      </c>
    </row>
    <row r="78" spans="2:4" x14ac:dyDescent="0.35">
      <c r="B78" s="6">
        <v>45882</v>
      </c>
      <c r="C78" s="9" t="s">
        <v>174</v>
      </c>
      <c r="D78">
        <v>120</v>
      </c>
    </row>
    <row r="79" spans="2:4" x14ac:dyDescent="0.35">
      <c r="B79" s="6">
        <v>45882</v>
      </c>
      <c r="C79" s="9" t="s">
        <v>173</v>
      </c>
      <c r="D79">
        <v>120</v>
      </c>
    </row>
    <row r="80" spans="2:4" x14ac:dyDescent="0.35">
      <c r="B80" s="6">
        <v>45882</v>
      </c>
      <c r="C80" s="9" t="s">
        <v>172</v>
      </c>
      <c r="D80">
        <v>50</v>
      </c>
    </row>
    <row r="81" spans="2:4" x14ac:dyDescent="0.35">
      <c r="B81" s="6">
        <v>45882</v>
      </c>
      <c r="C81" s="9" t="s">
        <v>209</v>
      </c>
      <c r="D81">
        <v>180</v>
      </c>
    </row>
    <row r="82" spans="2:4" x14ac:dyDescent="0.35">
      <c r="B82" s="6">
        <v>45882</v>
      </c>
      <c r="C82" s="9" t="s">
        <v>206</v>
      </c>
      <c r="D82">
        <v>240</v>
      </c>
    </row>
    <row r="83" spans="2:4" x14ac:dyDescent="0.35">
      <c r="B83" s="6">
        <v>45882</v>
      </c>
      <c r="C83" s="9" t="s">
        <v>207</v>
      </c>
      <c r="D83">
        <v>240</v>
      </c>
    </row>
    <row r="84" spans="2:4" x14ac:dyDescent="0.35">
      <c r="B84" s="6">
        <v>45882</v>
      </c>
      <c r="C84" s="9" t="s">
        <v>208</v>
      </c>
      <c r="D84">
        <v>60</v>
      </c>
    </row>
    <row r="85" spans="2:4" x14ac:dyDescent="0.35">
      <c r="B85" s="6">
        <v>45882</v>
      </c>
      <c r="C85" s="9" t="s">
        <v>215</v>
      </c>
      <c r="D85">
        <v>60</v>
      </c>
    </row>
    <row r="86" spans="2:4" x14ac:dyDescent="0.35">
      <c r="B86" s="6">
        <v>45882</v>
      </c>
      <c r="C86" s="9" t="s">
        <v>213</v>
      </c>
      <c r="D86">
        <v>60</v>
      </c>
    </row>
    <row r="87" spans="2:4" x14ac:dyDescent="0.35">
      <c r="B87" s="6">
        <v>45882</v>
      </c>
      <c r="C87" s="9" t="s">
        <v>214</v>
      </c>
      <c r="D87">
        <v>60</v>
      </c>
    </row>
    <row r="88" spans="2:4" x14ac:dyDescent="0.35">
      <c r="B88" s="6">
        <v>45882</v>
      </c>
      <c r="C88" s="9" t="s">
        <v>149</v>
      </c>
      <c r="D88">
        <v>10</v>
      </c>
    </row>
    <row r="89" spans="2:4" x14ac:dyDescent="0.35">
      <c r="B89" s="6">
        <v>45882</v>
      </c>
      <c r="C89" s="9" t="s">
        <v>197</v>
      </c>
      <c r="D89">
        <v>60</v>
      </c>
    </row>
    <row r="90" spans="2:4" x14ac:dyDescent="0.35">
      <c r="B90" s="6">
        <v>45882</v>
      </c>
      <c r="C90" s="9" t="s">
        <v>198</v>
      </c>
      <c r="D90">
        <v>60</v>
      </c>
    </row>
    <row r="91" spans="2:4" x14ac:dyDescent="0.35">
      <c r="B91" s="6">
        <v>45882</v>
      </c>
      <c r="C91" s="9" t="s">
        <v>196</v>
      </c>
      <c r="D91">
        <v>60</v>
      </c>
    </row>
    <row r="92" spans="2:4" x14ac:dyDescent="0.35">
      <c r="B92" s="6">
        <v>45882</v>
      </c>
      <c r="C92" s="9" t="s">
        <v>195</v>
      </c>
      <c r="D92">
        <v>60</v>
      </c>
    </row>
    <row r="93" spans="2:4" x14ac:dyDescent="0.35">
      <c r="B93" s="6">
        <v>45882</v>
      </c>
      <c r="C93" s="9" t="s">
        <v>125</v>
      </c>
      <c r="D93">
        <v>60</v>
      </c>
    </row>
    <row r="94" spans="2:4" x14ac:dyDescent="0.35">
      <c r="B94" s="6">
        <v>45882</v>
      </c>
      <c r="C94" s="9" t="s">
        <v>124</v>
      </c>
      <c r="D94">
        <v>60</v>
      </c>
    </row>
    <row r="95" spans="2:4" x14ac:dyDescent="0.35">
      <c r="B95" s="6">
        <v>45882</v>
      </c>
      <c r="C95" s="9" t="s">
        <v>123</v>
      </c>
      <c r="D95">
        <v>30</v>
      </c>
    </row>
    <row r="96" spans="2:4" x14ac:dyDescent="0.35">
      <c r="B96" s="6">
        <v>45882</v>
      </c>
      <c r="C96" s="9" t="s">
        <v>120</v>
      </c>
      <c r="D96">
        <v>60</v>
      </c>
    </row>
    <row r="97" spans="2:4" x14ac:dyDescent="0.35">
      <c r="B97" s="6">
        <v>45882</v>
      </c>
      <c r="C97" s="9" t="s">
        <v>218</v>
      </c>
      <c r="D97">
        <v>60</v>
      </c>
    </row>
    <row r="98" spans="2:4" x14ac:dyDescent="0.35">
      <c r="B98" s="6">
        <v>45882</v>
      </c>
      <c r="C98" s="9" t="s">
        <v>132</v>
      </c>
      <c r="D98">
        <v>30</v>
      </c>
    </row>
    <row r="99" spans="2:4" x14ac:dyDescent="0.35">
      <c r="B99" s="6">
        <v>45882</v>
      </c>
      <c r="C99" s="9" t="s">
        <v>130</v>
      </c>
      <c r="D99">
        <v>30</v>
      </c>
    </row>
    <row r="100" spans="2:4" x14ac:dyDescent="0.35">
      <c r="B100" s="6">
        <v>45882</v>
      </c>
      <c r="C100" s="9" t="s">
        <v>126</v>
      </c>
      <c r="D100">
        <v>30</v>
      </c>
    </row>
    <row r="101" spans="2:4" x14ac:dyDescent="0.35">
      <c r="B101" s="6">
        <v>45882</v>
      </c>
      <c r="C101" s="9" t="s">
        <v>128</v>
      </c>
      <c r="D101">
        <v>30</v>
      </c>
    </row>
    <row r="102" spans="2:4" x14ac:dyDescent="0.35">
      <c r="B102" s="6">
        <v>45882</v>
      </c>
      <c r="C102" s="9" t="s">
        <v>193</v>
      </c>
      <c r="D102">
        <v>30</v>
      </c>
    </row>
    <row r="103" spans="2:4" x14ac:dyDescent="0.35">
      <c r="B103" s="6">
        <v>45882</v>
      </c>
      <c r="C103" s="9" t="s">
        <v>135</v>
      </c>
      <c r="D103">
        <v>30</v>
      </c>
    </row>
    <row r="104" spans="2:4" x14ac:dyDescent="0.35">
      <c r="B104" s="6">
        <v>45896</v>
      </c>
      <c r="C104" s="2" t="s">
        <v>99</v>
      </c>
      <c r="D104">
        <v>30</v>
      </c>
    </row>
    <row r="105" spans="2:4" x14ac:dyDescent="0.35">
      <c r="B105" s="6">
        <v>45896</v>
      </c>
      <c r="C105" s="2" t="s">
        <v>101</v>
      </c>
      <c r="D105">
        <v>30</v>
      </c>
    </row>
    <row r="106" spans="2:4" x14ac:dyDescent="0.35">
      <c r="B106" s="6">
        <v>45896</v>
      </c>
      <c r="C106" s="2" t="s">
        <v>100</v>
      </c>
      <c r="D106">
        <v>30</v>
      </c>
    </row>
    <row r="107" spans="2:4" x14ac:dyDescent="0.35">
      <c r="B107" s="6">
        <v>45896</v>
      </c>
      <c r="C107" s="2" t="s">
        <v>103</v>
      </c>
      <c r="D107">
        <v>30</v>
      </c>
    </row>
    <row r="108" spans="2:4" x14ac:dyDescent="0.35">
      <c r="B108" s="6">
        <v>45896</v>
      </c>
      <c r="C108" s="2" t="s">
        <v>102</v>
      </c>
      <c r="D108">
        <v>30</v>
      </c>
    </row>
    <row r="109" spans="2:4" x14ac:dyDescent="0.35">
      <c r="B109" s="6">
        <v>45896</v>
      </c>
      <c r="C109" s="2" t="s">
        <v>105</v>
      </c>
      <c r="D109">
        <v>30</v>
      </c>
    </row>
    <row r="110" spans="2:4" x14ac:dyDescent="0.35">
      <c r="B110" s="6">
        <v>45896</v>
      </c>
      <c r="C110" s="2" t="s">
        <v>104</v>
      </c>
      <c r="D110">
        <v>30</v>
      </c>
    </row>
    <row r="111" spans="2:4" x14ac:dyDescent="0.35">
      <c r="B111" s="6">
        <v>45896</v>
      </c>
      <c r="C111" s="2" t="s">
        <v>110</v>
      </c>
      <c r="D111">
        <v>30</v>
      </c>
    </row>
    <row r="112" spans="2:4" x14ac:dyDescent="0.35">
      <c r="B112" s="6">
        <v>45896</v>
      </c>
      <c r="C112" s="2" t="s">
        <v>113</v>
      </c>
      <c r="D112">
        <v>30</v>
      </c>
    </row>
    <row r="113" spans="2:4" x14ac:dyDescent="0.35">
      <c r="B113" s="6">
        <v>45896</v>
      </c>
      <c r="C113" s="2" t="s">
        <v>107</v>
      </c>
      <c r="D113">
        <v>30</v>
      </c>
    </row>
    <row r="114" spans="2:4" x14ac:dyDescent="0.35">
      <c r="B114" s="6">
        <v>45896</v>
      </c>
      <c r="C114" s="2" t="s">
        <v>106</v>
      </c>
      <c r="D114">
        <v>30</v>
      </c>
    </row>
    <row r="115" spans="2:4" x14ac:dyDescent="0.35">
      <c r="B115" s="6">
        <v>45896</v>
      </c>
      <c r="C115" s="2" t="s">
        <v>83</v>
      </c>
      <c r="D115">
        <v>20</v>
      </c>
    </row>
    <row r="116" spans="2:4" x14ac:dyDescent="0.35">
      <c r="B116" s="6">
        <v>45896</v>
      </c>
      <c r="C116" s="2" t="s">
        <v>40</v>
      </c>
      <c r="D116">
        <v>30</v>
      </c>
    </row>
    <row r="117" spans="2:4" x14ac:dyDescent="0.35">
      <c r="B117" s="6">
        <v>45896</v>
      </c>
      <c r="C117" s="2" t="s">
        <v>95</v>
      </c>
      <c r="D117">
        <v>30</v>
      </c>
    </row>
    <row r="118" spans="2:4" x14ac:dyDescent="0.35">
      <c r="B118" s="6">
        <v>45896</v>
      </c>
      <c r="C118" s="2" t="s">
        <v>98</v>
      </c>
      <c r="D118">
        <v>30</v>
      </c>
    </row>
    <row r="119" spans="2:4" x14ac:dyDescent="0.35">
      <c r="B119" s="6">
        <v>45896</v>
      </c>
      <c r="C119" s="2" t="s">
        <v>94</v>
      </c>
      <c r="D119">
        <v>30</v>
      </c>
    </row>
    <row r="120" spans="2:4" x14ac:dyDescent="0.35">
      <c r="B120" s="6">
        <v>45896</v>
      </c>
      <c r="C120" s="2" t="s">
        <v>97</v>
      </c>
      <c r="D120">
        <v>30</v>
      </c>
    </row>
    <row r="121" spans="2:4" x14ac:dyDescent="0.35">
      <c r="B121" s="6">
        <v>45896</v>
      </c>
      <c r="C121" s="2" t="s">
        <v>91</v>
      </c>
      <c r="D121">
        <v>30</v>
      </c>
    </row>
    <row r="122" spans="2:4" x14ac:dyDescent="0.35">
      <c r="B122" s="6">
        <v>45896</v>
      </c>
      <c r="C122" s="2" t="s">
        <v>64</v>
      </c>
      <c r="D122">
        <v>30</v>
      </c>
    </row>
    <row r="123" spans="2:4" x14ac:dyDescent="0.35">
      <c r="B123" s="6">
        <v>45896</v>
      </c>
      <c r="C123" s="2" t="s">
        <v>92</v>
      </c>
      <c r="D123">
        <v>30</v>
      </c>
    </row>
    <row r="124" spans="2:4" x14ac:dyDescent="0.35">
      <c r="B124" s="6">
        <v>45896</v>
      </c>
      <c r="C124" s="2" t="s">
        <v>47</v>
      </c>
      <c r="D124">
        <v>30</v>
      </c>
    </row>
    <row r="125" spans="2:4" x14ac:dyDescent="0.35">
      <c r="B125" s="6">
        <v>45896</v>
      </c>
      <c r="C125" s="2" t="s">
        <v>48</v>
      </c>
      <c r="D125">
        <v>30</v>
      </c>
    </row>
    <row r="126" spans="2:4" x14ac:dyDescent="0.35">
      <c r="B126" s="6">
        <v>45896</v>
      </c>
      <c r="C126" s="2" t="s">
        <v>77</v>
      </c>
      <c r="D126">
        <v>20</v>
      </c>
    </row>
    <row r="127" spans="2:4" x14ac:dyDescent="0.35">
      <c r="B127" s="6">
        <v>45896</v>
      </c>
      <c r="C127" s="2" t="s">
        <v>38</v>
      </c>
      <c r="D127">
        <v>35</v>
      </c>
    </row>
    <row r="128" spans="2:4" x14ac:dyDescent="0.35">
      <c r="B128" s="6">
        <v>45896</v>
      </c>
      <c r="C128" s="2" t="s">
        <v>32</v>
      </c>
      <c r="D128">
        <v>35</v>
      </c>
    </row>
    <row r="129" spans="2:4" x14ac:dyDescent="0.35">
      <c r="B129" s="6">
        <v>45896</v>
      </c>
      <c r="C129" s="2" t="s">
        <v>34</v>
      </c>
      <c r="D129">
        <v>35</v>
      </c>
    </row>
    <row r="130" spans="2:4" x14ac:dyDescent="0.35">
      <c r="B130" s="6">
        <v>45896</v>
      </c>
      <c r="C130" s="2" t="s">
        <v>33</v>
      </c>
      <c r="D130">
        <v>35</v>
      </c>
    </row>
    <row r="131" spans="2:4" x14ac:dyDescent="0.35">
      <c r="B131" s="6">
        <v>45915</v>
      </c>
      <c r="C131" s="2" t="s">
        <v>79</v>
      </c>
      <c r="D131">
        <v>10</v>
      </c>
    </row>
    <row r="132" spans="2:4" x14ac:dyDescent="0.35">
      <c r="B132" s="6">
        <v>45915</v>
      </c>
      <c r="C132" s="2" t="s">
        <v>13</v>
      </c>
      <c r="D132">
        <v>15</v>
      </c>
    </row>
    <row r="133" spans="2:4" x14ac:dyDescent="0.35">
      <c r="B133" s="6">
        <v>45915</v>
      </c>
      <c r="C133" s="1" t="s">
        <v>10</v>
      </c>
      <c r="D133">
        <v>20</v>
      </c>
    </row>
    <row r="134" spans="2:4" x14ac:dyDescent="0.35">
      <c r="B134" s="6">
        <v>45915</v>
      </c>
      <c r="C134" s="2" t="s">
        <v>62</v>
      </c>
      <c r="D134">
        <v>20</v>
      </c>
    </row>
    <row r="135" spans="2:4" x14ac:dyDescent="0.35">
      <c r="B135" s="6">
        <v>45915</v>
      </c>
      <c r="C135" s="2" t="s">
        <v>61</v>
      </c>
      <c r="D135">
        <v>20</v>
      </c>
    </row>
    <row r="136" spans="2:4" x14ac:dyDescent="0.35">
      <c r="B136" s="6">
        <v>45915</v>
      </c>
      <c r="C136" s="2" t="s">
        <v>63</v>
      </c>
      <c r="D136">
        <v>20</v>
      </c>
    </row>
    <row r="137" spans="2:4" x14ac:dyDescent="0.35">
      <c r="B137" s="6">
        <v>45915</v>
      </c>
      <c r="C137" s="2" t="s">
        <v>80</v>
      </c>
      <c r="D137">
        <v>10</v>
      </c>
    </row>
    <row r="138" spans="2:4" x14ac:dyDescent="0.35">
      <c r="B138" s="6">
        <v>45915</v>
      </c>
      <c r="C138" s="2" t="s">
        <v>56</v>
      </c>
      <c r="D138">
        <v>15</v>
      </c>
    </row>
    <row r="139" spans="2:4" x14ac:dyDescent="0.35">
      <c r="B139" s="6">
        <v>45915</v>
      </c>
      <c r="C139" s="2" t="s">
        <v>78</v>
      </c>
      <c r="D139">
        <v>10</v>
      </c>
    </row>
    <row r="140" spans="2:4" x14ac:dyDescent="0.35">
      <c r="B140" s="6">
        <v>45915</v>
      </c>
      <c r="C140" s="9" t="s">
        <v>176</v>
      </c>
      <c r="D140">
        <v>35</v>
      </c>
    </row>
    <row r="141" spans="2:4" x14ac:dyDescent="0.35">
      <c r="B141" s="6">
        <v>45915</v>
      </c>
      <c r="C141" s="9" t="s">
        <v>175</v>
      </c>
      <c r="D141">
        <v>35</v>
      </c>
    </row>
    <row r="142" spans="2:4" x14ac:dyDescent="0.35">
      <c r="B142" s="6">
        <v>45915</v>
      </c>
      <c r="C142" s="9" t="s">
        <v>199</v>
      </c>
      <c r="D142">
        <v>35</v>
      </c>
    </row>
    <row r="143" spans="2:4" x14ac:dyDescent="0.35">
      <c r="B143" s="6">
        <v>45915</v>
      </c>
      <c r="C143" s="9" t="s">
        <v>194</v>
      </c>
      <c r="D143">
        <v>35</v>
      </c>
    </row>
    <row r="144" spans="2:4" x14ac:dyDescent="0.35">
      <c r="B144" s="6">
        <v>45915</v>
      </c>
      <c r="C144" s="9" t="s">
        <v>177</v>
      </c>
      <c r="D144">
        <v>35</v>
      </c>
    </row>
    <row r="145" spans="2:4" x14ac:dyDescent="0.35">
      <c r="B145" s="6">
        <v>45915</v>
      </c>
      <c r="C145" s="9" t="s">
        <v>178</v>
      </c>
      <c r="D145">
        <v>35</v>
      </c>
    </row>
    <row r="146" spans="2:4" x14ac:dyDescent="0.35">
      <c r="B146" s="6">
        <v>45915</v>
      </c>
      <c r="C146" s="2" t="s">
        <v>24</v>
      </c>
      <c r="D146">
        <v>10</v>
      </c>
    </row>
    <row r="147" spans="2:4" x14ac:dyDescent="0.35">
      <c r="B147" s="6">
        <v>45915</v>
      </c>
      <c r="C147" s="2" t="s">
        <v>16</v>
      </c>
      <c r="D147">
        <v>10</v>
      </c>
    </row>
    <row r="148" spans="2:4" x14ac:dyDescent="0.35">
      <c r="B148" s="6">
        <v>45915</v>
      </c>
      <c r="C148" s="2" t="s">
        <v>26</v>
      </c>
      <c r="D148">
        <v>10</v>
      </c>
    </row>
    <row r="149" spans="2:4" x14ac:dyDescent="0.35">
      <c r="B149" s="6">
        <v>45915</v>
      </c>
      <c r="C149" s="2" t="s">
        <v>18</v>
      </c>
      <c r="D149">
        <v>10</v>
      </c>
    </row>
    <row r="150" spans="2:4" x14ac:dyDescent="0.35">
      <c r="B150" s="6">
        <v>45915</v>
      </c>
      <c r="C150" s="2" t="s">
        <v>19</v>
      </c>
      <c r="D150">
        <v>10</v>
      </c>
    </row>
    <row r="151" spans="2:4" x14ac:dyDescent="0.35">
      <c r="B151" s="6">
        <v>45915</v>
      </c>
      <c r="C151" s="2" t="s">
        <v>25</v>
      </c>
      <c r="D151">
        <v>10</v>
      </c>
    </row>
    <row r="152" spans="2:4" x14ac:dyDescent="0.35">
      <c r="B152" s="6">
        <v>45915</v>
      </c>
      <c r="C152" s="2" t="s">
        <v>28</v>
      </c>
      <c r="D152">
        <v>10</v>
      </c>
    </row>
    <row r="153" spans="2:4" x14ac:dyDescent="0.35">
      <c r="B153" s="6">
        <v>45915</v>
      </c>
      <c r="C153" s="2" t="s">
        <v>30</v>
      </c>
      <c r="D153">
        <v>10</v>
      </c>
    </row>
    <row r="154" spans="2:4" x14ac:dyDescent="0.35">
      <c r="B154" s="6">
        <v>45915</v>
      </c>
      <c r="C154" s="2" t="s">
        <v>31</v>
      </c>
      <c r="D154">
        <v>10</v>
      </c>
    </row>
    <row r="155" spans="2:4" x14ac:dyDescent="0.35">
      <c r="B155" s="6">
        <v>45915</v>
      </c>
      <c r="C155" s="2" t="s">
        <v>21</v>
      </c>
      <c r="D155">
        <v>10</v>
      </c>
    </row>
    <row r="156" spans="2:4" x14ac:dyDescent="0.35">
      <c r="B156" s="6">
        <v>45915</v>
      </c>
      <c r="C156" s="2" t="s">
        <v>22</v>
      </c>
      <c r="D156">
        <v>10</v>
      </c>
    </row>
    <row r="157" spans="2:4" x14ac:dyDescent="0.35">
      <c r="B157" s="6">
        <v>45915</v>
      </c>
      <c r="C157" s="2" t="s">
        <v>27</v>
      </c>
      <c r="D157">
        <v>10</v>
      </c>
    </row>
    <row r="158" spans="2:4" x14ac:dyDescent="0.35">
      <c r="B158" s="6">
        <v>45915</v>
      </c>
      <c r="C158" s="2" t="s">
        <v>20</v>
      </c>
      <c r="D158">
        <v>10</v>
      </c>
    </row>
    <row r="159" spans="2:4" x14ac:dyDescent="0.35">
      <c r="B159" s="6">
        <v>45915</v>
      </c>
      <c r="C159" s="9" t="s">
        <v>168</v>
      </c>
      <c r="D159">
        <v>40</v>
      </c>
    </row>
    <row r="160" spans="2:4" x14ac:dyDescent="0.35">
      <c r="B160" s="6">
        <v>45915</v>
      </c>
      <c r="C160" s="9" t="s">
        <v>169</v>
      </c>
      <c r="D160">
        <v>40</v>
      </c>
    </row>
    <row r="161" spans="2:4" x14ac:dyDescent="0.35">
      <c r="B161" s="6">
        <v>45915</v>
      </c>
      <c r="C161" s="9" t="s">
        <v>167</v>
      </c>
      <c r="D161">
        <v>40</v>
      </c>
    </row>
    <row r="162" spans="2:4" x14ac:dyDescent="0.35">
      <c r="B162" s="6">
        <v>45915</v>
      </c>
      <c r="C162" s="2" t="s">
        <v>68</v>
      </c>
      <c r="D162">
        <v>20</v>
      </c>
    </row>
    <row r="163" spans="2:4" x14ac:dyDescent="0.35">
      <c r="B163" s="6">
        <v>45915</v>
      </c>
      <c r="C163" s="2" t="s">
        <v>66</v>
      </c>
      <c r="D163">
        <v>20</v>
      </c>
    </row>
    <row r="164" spans="2:4" x14ac:dyDescent="0.35">
      <c r="B164" s="6">
        <v>45915</v>
      </c>
      <c r="C164" s="2" t="s">
        <v>59</v>
      </c>
      <c r="D164">
        <v>20</v>
      </c>
    </row>
    <row r="165" spans="2:4" x14ac:dyDescent="0.35">
      <c r="B165" s="6">
        <v>45915</v>
      </c>
      <c r="C165" s="9" t="s">
        <v>166</v>
      </c>
      <c r="D165">
        <v>40</v>
      </c>
    </row>
    <row r="166" spans="2:4" x14ac:dyDescent="0.35">
      <c r="B166" s="6">
        <v>45915</v>
      </c>
      <c r="C166" s="2" t="s">
        <v>74</v>
      </c>
      <c r="D166">
        <v>20</v>
      </c>
    </row>
    <row r="167" spans="2:4" x14ac:dyDescent="0.35">
      <c r="B167" s="6">
        <v>45915</v>
      </c>
      <c r="C167" s="2" t="s">
        <v>71</v>
      </c>
      <c r="D167">
        <v>20</v>
      </c>
    </row>
    <row r="168" spans="2:4" x14ac:dyDescent="0.35">
      <c r="B168" s="6">
        <v>45915</v>
      </c>
      <c r="C168" s="2" t="s">
        <v>72</v>
      </c>
      <c r="D168">
        <v>20</v>
      </c>
    </row>
    <row r="169" spans="2:4" x14ac:dyDescent="0.35">
      <c r="B169" s="6">
        <v>45915</v>
      </c>
      <c r="C169" s="2" t="s">
        <v>76</v>
      </c>
      <c r="D169">
        <v>20</v>
      </c>
    </row>
    <row r="170" spans="2:4" x14ac:dyDescent="0.35">
      <c r="B170" s="6">
        <v>45915</v>
      </c>
      <c r="C170" s="2" t="s">
        <v>81</v>
      </c>
      <c r="D170">
        <v>10</v>
      </c>
    </row>
    <row r="171" spans="2:4" x14ac:dyDescent="0.35">
      <c r="B171" s="6">
        <v>45915</v>
      </c>
      <c r="C171" s="2" t="s">
        <v>65</v>
      </c>
      <c r="D171">
        <v>10</v>
      </c>
    </row>
    <row r="172" spans="2:4" x14ac:dyDescent="0.35">
      <c r="B172" s="6">
        <v>45915</v>
      </c>
      <c r="C172" s="2" t="s">
        <v>69</v>
      </c>
      <c r="D172">
        <v>10</v>
      </c>
    </row>
    <row r="173" spans="2:4" x14ac:dyDescent="0.35">
      <c r="B173" s="6">
        <v>45915</v>
      </c>
      <c r="C173" s="9" t="s">
        <v>164</v>
      </c>
      <c r="D173">
        <v>24</v>
      </c>
    </row>
    <row r="174" spans="2:4" x14ac:dyDescent="0.35">
      <c r="B174" s="6">
        <v>45915</v>
      </c>
      <c r="C174" s="9" t="s">
        <v>162</v>
      </c>
      <c r="D174">
        <v>24</v>
      </c>
    </row>
    <row r="175" spans="2:4" x14ac:dyDescent="0.35">
      <c r="B175" s="6">
        <v>45915</v>
      </c>
      <c r="C175" s="9" t="s">
        <v>161</v>
      </c>
      <c r="D175">
        <v>24</v>
      </c>
    </row>
    <row r="176" spans="2:4" x14ac:dyDescent="0.35">
      <c r="B176" s="6">
        <v>45915</v>
      </c>
      <c r="C176" s="9" t="s">
        <v>163</v>
      </c>
      <c r="D176">
        <v>24</v>
      </c>
    </row>
    <row r="177" spans="2:4" x14ac:dyDescent="0.35">
      <c r="B177" s="6">
        <v>45915</v>
      </c>
      <c r="C177" s="2" t="s">
        <v>70</v>
      </c>
      <c r="D177">
        <v>50</v>
      </c>
    </row>
    <row r="178" spans="2:4" x14ac:dyDescent="0.35">
      <c r="B178" s="6">
        <v>45915</v>
      </c>
      <c r="C178" s="2" t="s">
        <v>75</v>
      </c>
      <c r="D178">
        <v>20</v>
      </c>
    </row>
    <row r="179" spans="2:4" x14ac:dyDescent="0.35">
      <c r="B179" s="6">
        <v>45915</v>
      </c>
      <c r="C179" s="2" t="s">
        <v>73</v>
      </c>
      <c r="D179">
        <v>20</v>
      </c>
    </row>
    <row r="180" spans="2:4" x14ac:dyDescent="0.35">
      <c r="B180" s="6">
        <v>45915</v>
      </c>
      <c r="C180" s="2" t="s">
        <v>41</v>
      </c>
      <c r="D180">
        <v>20</v>
      </c>
    </row>
    <row r="181" spans="2:4" x14ac:dyDescent="0.35">
      <c r="B181" s="6">
        <v>45915</v>
      </c>
      <c r="C181" s="9" t="s">
        <v>216</v>
      </c>
      <c r="D181">
        <v>35</v>
      </c>
    </row>
    <row r="182" spans="2:4" x14ac:dyDescent="0.35">
      <c r="B182" s="6">
        <v>45915</v>
      </c>
      <c r="C182" s="11" t="s">
        <v>217</v>
      </c>
      <c r="D182">
        <v>35</v>
      </c>
    </row>
    <row r="183" spans="2:4" x14ac:dyDescent="0.35">
      <c r="B183" s="6">
        <v>45915</v>
      </c>
      <c r="C183" s="2" t="s">
        <v>67</v>
      </c>
      <c r="D183">
        <v>20</v>
      </c>
    </row>
    <row r="184" spans="2:4" x14ac:dyDescent="0.35">
      <c r="B184" s="6">
        <v>45915</v>
      </c>
      <c r="C184" s="2" t="s">
        <v>86</v>
      </c>
      <c r="D184">
        <v>20</v>
      </c>
    </row>
    <row r="185" spans="2:4" x14ac:dyDescent="0.35">
      <c r="B185" s="6">
        <v>45915</v>
      </c>
      <c r="C185" s="2" t="s">
        <v>52</v>
      </c>
      <c r="D185">
        <v>20</v>
      </c>
    </row>
    <row r="186" spans="2:4" x14ac:dyDescent="0.35">
      <c r="B186" s="6">
        <v>45915</v>
      </c>
      <c r="C186" s="2" t="s">
        <v>70</v>
      </c>
      <c r="D186">
        <v>50</v>
      </c>
    </row>
    <row r="187" spans="2:4" x14ac:dyDescent="0.35">
      <c r="B187" s="6">
        <v>45915</v>
      </c>
      <c r="C187" s="2" t="s">
        <v>75</v>
      </c>
      <c r="D187">
        <v>50</v>
      </c>
    </row>
    <row r="188" spans="2:4" x14ac:dyDescent="0.35">
      <c r="B188" s="6">
        <v>45915</v>
      </c>
      <c r="C188" s="9" t="s">
        <v>163</v>
      </c>
      <c r="D188">
        <v>40</v>
      </c>
    </row>
    <row r="189" spans="2:4" x14ac:dyDescent="0.35">
      <c r="B189" s="6">
        <v>45915</v>
      </c>
      <c r="C189" s="2" t="s">
        <v>71</v>
      </c>
      <c r="D189">
        <v>40</v>
      </c>
    </row>
    <row r="190" spans="2:4" x14ac:dyDescent="0.35">
      <c r="B190" s="6">
        <v>45915</v>
      </c>
      <c r="C190" s="2" t="s">
        <v>72</v>
      </c>
      <c r="D190">
        <v>40</v>
      </c>
    </row>
    <row r="191" spans="2:4" x14ac:dyDescent="0.35">
      <c r="B191" s="6">
        <v>45915</v>
      </c>
      <c r="C191" s="2" t="s">
        <v>76</v>
      </c>
      <c r="D191">
        <v>40</v>
      </c>
    </row>
    <row r="192" spans="2:4" x14ac:dyDescent="0.35">
      <c r="B192" s="6">
        <v>45915</v>
      </c>
      <c r="C192" s="9" t="s">
        <v>149</v>
      </c>
      <c r="D192"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A991D-7442-488F-ABF8-D5B4250F3CF8}">
  <sheetPr codeName="Sheet3"/>
  <dimension ref="B1:D959"/>
  <sheetViews>
    <sheetView tabSelected="1" zoomScale="78" zoomScaleNormal="78" workbookViewId="0">
      <selection activeCell="B1" sqref="B1:D10"/>
    </sheetView>
  </sheetViews>
  <sheetFormatPr defaultRowHeight="14.5" x14ac:dyDescent="0.35"/>
  <cols>
    <col min="1" max="1" width="2.6328125" customWidth="1"/>
    <col min="2" max="2" width="16" customWidth="1"/>
    <col min="3" max="3" width="28.26953125" customWidth="1"/>
    <col min="4" max="4" width="18.7265625" customWidth="1"/>
    <col min="5" max="5" width="11.81640625" customWidth="1"/>
  </cols>
  <sheetData>
    <row r="1" spans="2:4" x14ac:dyDescent="0.35">
      <c r="B1" t="s">
        <v>114</v>
      </c>
      <c r="C1" t="s">
        <v>0</v>
      </c>
      <c r="D1" t="s">
        <v>116</v>
      </c>
    </row>
    <row r="2" spans="2:4" x14ac:dyDescent="0.35">
      <c r="B2" s="6">
        <v>45870</v>
      </c>
      <c r="C2" t="s">
        <v>7</v>
      </c>
      <c r="D2">
        <v>1</v>
      </c>
    </row>
    <row r="3" spans="2:4" x14ac:dyDescent="0.35">
      <c r="B3" s="6">
        <v>45870</v>
      </c>
      <c r="C3" t="s">
        <v>112</v>
      </c>
      <c r="D3">
        <v>1</v>
      </c>
    </row>
    <row r="4" spans="2:4" x14ac:dyDescent="0.35">
      <c r="B4" s="6">
        <v>45870</v>
      </c>
      <c r="C4" t="s">
        <v>14</v>
      </c>
      <c r="D4">
        <v>1</v>
      </c>
    </row>
    <row r="5" spans="2:4" x14ac:dyDescent="0.35">
      <c r="B5" s="6">
        <v>45870</v>
      </c>
      <c r="C5" t="s">
        <v>70</v>
      </c>
      <c r="D5">
        <v>5</v>
      </c>
    </row>
    <row r="6" spans="2:4" x14ac:dyDescent="0.35">
      <c r="B6" s="6">
        <v>45870</v>
      </c>
      <c r="C6" t="s">
        <v>37</v>
      </c>
      <c r="D6">
        <v>4</v>
      </c>
    </row>
    <row r="7" spans="2:4" x14ac:dyDescent="0.35">
      <c r="B7" s="6">
        <v>45870</v>
      </c>
      <c r="C7" t="s">
        <v>35</v>
      </c>
      <c r="D7">
        <v>2</v>
      </c>
    </row>
    <row r="8" spans="2:4" x14ac:dyDescent="0.35">
      <c r="B8" s="6">
        <v>45870</v>
      </c>
      <c r="C8" t="s">
        <v>36</v>
      </c>
      <c r="D8">
        <v>5</v>
      </c>
    </row>
    <row r="9" spans="2:4" x14ac:dyDescent="0.35">
      <c r="B9" s="6">
        <v>45870</v>
      </c>
      <c r="C9" t="s">
        <v>72</v>
      </c>
      <c r="D9">
        <v>2</v>
      </c>
    </row>
    <row r="10" spans="2:4" x14ac:dyDescent="0.35">
      <c r="B10" s="6">
        <v>45870</v>
      </c>
      <c r="C10" t="s">
        <v>71</v>
      </c>
      <c r="D10">
        <v>2</v>
      </c>
    </row>
    <row r="11" spans="2:4" x14ac:dyDescent="0.35">
      <c r="B11" s="6">
        <v>45870</v>
      </c>
      <c r="C11" t="s">
        <v>216</v>
      </c>
      <c r="D11">
        <v>1</v>
      </c>
    </row>
    <row r="12" spans="2:4" x14ac:dyDescent="0.35">
      <c r="B12" s="6">
        <v>45870</v>
      </c>
      <c r="C12" t="s">
        <v>30</v>
      </c>
      <c r="D12">
        <v>1</v>
      </c>
    </row>
    <row r="13" spans="2:4" x14ac:dyDescent="0.35">
      <c r="B13" s="6">
        <v>45870</v>
      </c>
      <c r="C13" t="s">
        <v>28</v>
      </c>
      <c r="D13">
        <v>1</v>
      </c>
    </row>
    <row r="14" spans="2:4" x14ac:dyDescent="0.35">
      <c r="B14" s="6">
        <v>45870</v>
      </c>
      <c r="C14" t="s">
        <v>133</v>
      </c>
      <c r="D14">
        <v>3</v>
      </c>
    </row>
    <row r="15" spans="2:4" x14ac:dyDescent="0.35">
      <c r="B15" s="6">
        <v>45870</v>
      </c>
      <c r="C15" t="s">
        <v>171</v>
      </c>
      <c r="D15">
        <v>1</v>
      </c>
    </row>
    <row r="16" spans="2:4" x14ac:dyDescent="0.35">
      <c r="B16" s="6">
        <v>45870</v>
      </c>
      <c r="C16" t="s">
        <v>150</v>
      </c>
      <c r="D16">
        <v>2</v>
      </c>
    </row>
    <row r="17" spans="2:4" x14ac:dyDescent="0.35">
      <c r="B17" s="6">
        <v>45870</v>
      </c>
      <c r="C17" t="s">
        <v>35</v>
      </c>
      <c r="D17">
        <v>2</v>
      </c>
    </row>
    <row r="18" spans="2:4" x14ac:dyDescent="0.35">
      <c r="B18" s="6">
        <v>45871</v>
      </c>
      <c r="C18" t="s">
        <v>169</v>
      </c>
      <c r="D18">
        <v>5</v>
      </c>
    </row>
    <row r="19" spans="2:4" x14ac:dyDescent="0.35">
      <c r="B19" s="6">
        <v>45871</v>
      </c>
      <c r="C19" t="s">
        <v>57</v>
      </c>
      <c r="D19">
        <v>1</v>
      </c>
    </row>
    <row r="20" spans="2:4" x14ac:dyDescent="0.35">
      <c r="B20" s="6">
        <v>45871</v>
      </c>
      <c r="C20" t="s">
        <v>30</v>
      </c>
      <c r="D20">
        <v>1</v>
      </c>
    </row>
    <row r="21" spans="2:4" x14ac:dyDescent="0.35">
      <c r="B21" s="6">
        <v>45871</v>
      </c>
      <c r="C21" t="s">
        <v>192</v>
      </c>
      <c r="D21">
        <v>1</v>
      </c>
    </row>
    <row r="22" spans="2:4" x14ac:dyDescent="0.35">
      <c r="B22" s="6">
        <v>45871</v>
      </c>
      <c r="C22" t="s">
        <v>70</v>
      </c>
      <c r="D22">
        <v>5</v>
      </c>
    </row>
    <row r="23" spans="2:4" x14ac:dyDescent="0.35">
      <c r="B23" s="6">
        <v>45871</v>
      </c>
      <c r="C23" t="s">
        <v>140</v>
      </c>
      <c r="D23">
        <v>2</v>
      </c>
    </row>
    <row r="24" spans="2:4" x14ac:dyDescent="0.35">
      <c r="B24" s="6">
        <v>45871</v>
      </c>
      <c r="C24" t="s">
        <v>119</v>
      </c>
      <c r="D24">
        <v>1</v>
      </c>
    </row>
    <row r="25" spans="2:4" x14ac:dyDescent="0.35">
      <c r="B25" s="6">
        <v>45871</v>
      </c>
      <c r="C25" t="s">
        <v>125</v>
      </c>
      <c r="D25">
        <v>3</v>
      </c>
    </row>
    <row r="26" spans="2:4" x14ac:dyDescent="0.35">
      <c r="B26" s="6">
        <v>45871</v>
      </c>
      <c r="C26" t="s">
        <v>123</v>
      </c>
      <c r="D26">
        <v>5</v>
      </c>
    </row>
    <row r="27" spans="2:4" x14ac:dyDescent="0.35">
      <c r="B27" s="6">
        <v>45871</v>
      </c>
      <c r="C27" t="s">
        <v>137</v>
      </c>
      <c r="D27">
        <v>4</v>
      </c>
    </row>
    <row r="28" spans="2:4" x14ac:dyDescent="0.35">
      <c r="B28" s="6">
        <v>45871</v>
      </c>
      <c r="C28" t="s">
        <v>98</v>
      </c>
      <c r="D28">
        <v>1</v>
      </c>
    </row>
    <row r="29" spans="2:4" x14ac:dyDescent="0.35">
      <c r="B29" s="6">
        <v>45871</v>
      </c>
      <c r="C29" t="s">
        <v>73</v>
      </c>
      <c r="D29">
        <v>1</v>
      </c>
    </row>
    <row r="30" spans="2:4" x14ac:dyDescent="0.35">
      <c r="B30" s="6">
        <v>45871</v>
      </c>
      <c r="C30" t="s">
        <v>192</v>
      </c>
      <c r="D30">
        <v>2</v>
      </c>
    </row>
    <row r="31" spans="2:4" x14ac:dyDescent="0.35">
      <c r="B31" s="6">
        <v>45871</v>
      </c>
      <c r="C31" t="s">
        <v>199</v>
      </c>
      <c r="D31">
        <v>1</v>
      </c>
    </row>
    <row r="32" spans="2:4" x14ac:dyDescent="0.35">
      <c r="B32" s="6">
        <v>45871</v>
      </c>
      <c r="C32" t="s">
        <v>29</v>
      </c>
      <c r="D32">
        <v>1</v>
      </c>
    </row>
    <row r="33" spans="2:4" x14ac:dyDescent="0.35">
      <c r="B33" s="6">
        <v>45871</v>
      </c>
      <c r="C33" t="s">
        <v>195</v>
      </c>
      <c r="D33">
        <v>5</v>
      </c>
    </row>
    <row r="34" spans="2:4" x14ac:dyDescent="0.35">
      <c r="B34" s="6">
        <v>45871</v>
      </c>
      <c r="C34" t="s">
        <v>167</v>
      </c>
      <c r="D34">
        <v>4</v>
      </c>
    </row>
    <row r="35" spans="2:4" x14ac:dyDescent="0.35">
      <c r="B35" s="6">
        <v>45873</v>
      </c>
      <c r="C35" t="s">
        <v>163</v>
      </c>
      <c r="D35">
        <v>10</v>
      </c>
    </row>
    <row r="36" spans="2:4" x14ac:dyDescent="0.35">
      <c r="B36" s="6">
        <v>45873</v>
      </c>
      <c r="C36" t="s">
        <v>146</v>
      </c>
      <c r="D36">
        <v>1</v>
      </c>
    </row>
    <row r="37" spans="2:4" x14ac:dyDescent="0.35">
      <c r="B37" s="6">
        <v>45873</v>
      </c>
      <c r="C37" t="s">
        <v>217</v>
      </c>
      <c r="D37">
        <v>1</v>
      </c>
    </row>
    <row r="38" spans="2:4" x14ac:dyDescent="0.35">
      <c r="B38" s="6">
        <v>45873</v>
      </c>
      <c r="C38" t="s">
        <v>172</v>
      </c>
      <c r="D38">
        <v>2</v>
      </c>
    </row>
    <row r="39" spans="2:4" x14ac:dyDescent="0.35">
      <c r="B39" s="6">
        <v>45873</v>
      </c>
      <c r="C39" t="s">
        <v>193</v>
      </c>
      <c r="D39">
        <v>1</v>
      </c>
    </row>
    <row r="40" spans="2:4" x14ac:dyDescent="0.35">
      <c r="B40" s="6">
        <v>45873</v>
      </c>
      <c r="C40" t="s">
        <v>176</v>
      </c>
      <c r="D40">
        <v>1</v>
      </c>
    </row>
    <row r="41" spans="2:4" x14ac:dyDescent="0.35">
      <c r="B41" s="6">
        <v>45873</v>
      </c>
      <c r="C41" t="s">
        <v>168</v>
      </c>
      <c r="D41">
        <v>3</v>
      </c>
    </row>
    <row r="42" spans="2:4" x14ac:dyDescent="0.35">
      <c r="B42" s="6">
        <v>45873</v>
      </c>
      <c r="C42" t="s">
        <v>214</v>
      </c>
      <c r="D42">
        <v>1</v>
      </c>
    </row>
    <row r="43" spans="2:4" x14ac:dyDescent="0.35">
      <c r="B43" s="6">
        <v>45873</v>
      </c>
      <c r="C43" t="s">
        <v>164</v>
      </c>
      <c r="D43">
        <v>2</v>
      </c>
    </row>
    <row r="44" spans="2:4" x14ac:dyDescent="0.35">
      <c r="B44" s="6">
        <v>45873</v>
      </c>
      <c r="C44" t="s">
        <v>118</v>
      </c>
      <c r="D44">
        <v>1</v>
      </c>
    </row>
    <row r="45" spans="2:4" x14ac:dyDescent="0.35">
      <c r="B45" s="6">
        <v>45873</v>
      </c>
      <c r="C45" t="s">
        <v>203</v>
      </c>
      <c r="D45">
        <v>2</v>
      </c>
    </row>
    <row r="46" spans="2:4" x14ac:dyDescent="0.35">
      <c r="B46" s="6">
        <v>45873</v>
      </c>
      <c r="C46" t="s">
        <v>174</v>
      </c>
      <c r="D46">
        <v>1</v>
      </c>
    </row>
    <row r="47" spans="2:4" x14ac:dyDescent="0.35">
      <c r="B47" s="6">
        <v>45873</v>
      </c>
      <c r="C47" t="s">
        <v>48</v>
      </c>
      <c r="D47">
        <v>1</v>
      </c>
    </row>
    <row r="48" spans="2:4" x14ac:dyDescent="0.35">
      <c r="B48" s="6">
        <v>45873</v>
      </c>
      <c r="C48" t="s">
        <v>38</v>
      </c>
      <c r="D48">
        <v>1</v>
      </c>
    </row>
    <row r="49" spans="2:4" x14ac:dyDescent="0.35">
      <c r="B49" s="6">
        <v>45873</v>
      </c>
      <c r="C49" t="s">
        <v>128</v>
      </c>
      <c r="D49">
        <v>1</v>
      </c>
    </row>
    <row r="50" spans="2:4" x14ac:dyDescent="0.35">
      <c r="B50" s="6">
        <v>45873</v>
      </c>
      <c r="C50" t="s">
        <v>61</v>
      </c>
      <c r="D50">
        <v>1</v>
      </c>
    </row>
    <row r="51" spans="2:4" x14ac:dyDescent="0.35">
      <c r="B51" s="6">
        <v>45873</v>
      </c>
      <c r="C51" t="s">
        <v>214</v>
      </c>
      <c r="D51">
        <v>1</v>
      </c>
    </row>
    <row r="52" spans="2:4" x14ac:dyDescent="0.35">
      <c r="B52" s="6">
        <v>45873</v>
      </c>
      <c r="C52" t="s">
        <v>13</v>
      </c>
      <c r="D52">
        <v>1</v>
      </c>
    </row>
    <row r="53" spans="2:4" x14ac:dyDescent="0.35">
      <c r="B53" s="6">
        <v>45873</v>
      </c>
      <c r="C53" t="s">
        <v>206</v>
      </c>
      <c r="D53">
        <v>4</v>
      </c>
    </row>
    <row r="54" spans="2:4" x14ac:dyDescent="0.35">
      <c r="B54" s="6">
        <v>45873</v>
      </c>
      <c r="C54" t="s">
        <v>194</v>
      </c>
      <c r="D54">
        <v>1</v>
      </c>
    </row>
    <row r="55" spans="2:4" x14ac:dyDescent="0.35">
      <c r="B55" s="6">
        <v>45873</v>
      </c>
      <c r="C55" t="s">
        <v>178</v>
      </c>
      <c r="D55">
        <v>1</v>
      </c>
    </row>
    <row r="56" spans="2:4" x14ac:dyDescent="0.35">
      <c r="B56" s="6">
        <v>45873</v>
      </c>
      <c r="C56" t="s">
        <v>127</v>
      </c>
      <c r="D56">
        <v>5</v>
      </c>
    </row>
    <row r="57" spans="2:4" x14ac:dyDescent="0.35">
      <c r="B57" s="6">
        <v>45873</v>
      </c>
      <c r="C57" t="s">
        <v>170</v>
      </c>
      <c r="D57">
        <v>1</v>
      </c>
    </row>
    <row r="58" spans="2:4" x14ac:dyDescent="0.35">
      <c r="B58" s="6">
        <v>45874</v>
      </c>
      <c r="C58" t="s">
        <v>20</v>
      </c>
      <c r="D58">
        <v>1</v>
      </c>
    </row>
    <row r="59" spans="2:4" x14ac:dyDescent="0.35">
      <c r="B59" s="6">
        <v>45874</v>
      </c>
      <c r="C59" t="s">
        <v>37</v>
      </c>
      <c r="D59">
        <v>2</v>
      </c>
    </row>
    <row r="60" spans="2:4" x14ac:dyDescent="0.35">
      <c r="B60" s="6">
        <v>45874</v>
      </c>
      <c r="C60" t="s">
        <v>60</v>
      </c>
      <c r="D60">
        <v>1</v>
      </c>
    </row>
    <row r="61" spans="2:4" x14ac:dyDescent="0.35">
      <c r="B61" s="6">
        <v>45874</v>
      </c>
      <c r="C61" t="s">
        <v>69</v>
      </c>
      <c r="D61">
        <v>1</v>
      </c>
    </row>
    <row r="62" spans="2:4" x14ac:dyDescent="0.35">
      <c r="B62" s="6">
        <v>45874</v>
      </c>
      <c r="C62" t="s">
        <v>188</v>
      </c>
      <c r="D62">
        <v>1</v>
      </c>
    </row>
    <row r="63" spans="2:4" x14ac:dyDescent="0.35">
      <c r="B63" s="6">
        <v>45874</v>
      </c>
      <c r="C63" t="s">
        <v>184</v>
      </c>
      <c r="D63">
        <v>1</v>
      </c>
    </row>
    <row r="64" spans="2:4" x14ac:dyDescent="0.35">
      <c r="B64" s="6">
        <v>45874</v>
      </c>
      <c r="C64" t="s">
        <v>169</v>
      </c>
      <c r="D64">
        <v>2</v>
      </c>
    </row>
    <row r="65" spans="2:4" x14ac:dyDescent="0.35">
      <c r="B65" s="6">
        <v>45874</v>
      </c>
      <c r="C65" t="s">
        <v>125</v>
      </c>
      <c r="D65">
        <v>1</v>
      </c>
    </row>
    <row r="66" spans="2:4" x14ac:dyDescent="0.35">
      <c r="B66" s="6">
        <v>45874</v>
      </c>
      <c r="C66" t="s">
        <v>210</v>
      </c>
      <c r="D66">
        <v>2</v>
      </c>
    </row>
    <row r="67" spans="2:4" x14ac:dyDescent="0.35">
      <c r="B67" s="6">
        <v>45874</v>
      </c>
      <c r="C67" t="s">
        <v>143</v>
      </c>
      <c r="D67">
        <v>1</v>
      </c>
    </row>
    <row r="68" spans="2:4" x14ac:dyDescent="0.35">
      <c r="B68" s="6">
        <v>45874</v>
      </c>
      <c r="C68" t="s">
        <v>68</v>
      </c>
      <c r="D68">
        <v>1</v>
      </c>
    </row>
    <row r="69" spans="2:4" x14ac:dyDescent="0.35">
      <c r="B69" s="6">
        <v>45874</v>
      </c>
      <c r="C69" t="s">
        <v>185</v>
      </c>
      <c r="D69">
        <v>1</v>
      </c>
    </row>
    <row r="70" spans="2:4" x14ac:dyDescent="0.35">
      <c r="B70" s="6">
        <v>45874</v>
      </c>
      <c r="C70" t="s">
        <v>166</v>
      </c>
      <c r="D70">
        <v>5</v>
      </c>
    </row>
    <row r="71" spans="2:4" x14ac:dyDescent="0.35">
      <c r="B71" s="6">
        <v>45874</v>
      </c>
      <c r="C71" t="s">
        <v>160</v>
      </c>
      <c r="D71">
        <v>2</v>
      </c>
    </row>
    <row r="72" spans="2:4" x14ac:dyDescent="0.35">
      <c r="B72" s="6">
        <v>45874</v>
      </c>
      <c r="C72" t="s">
        <v>43</v>
      </c>
      <c r="D72">
        <v>1</v>
      </c>
    </row>
    <row r="73" spans="2:4" x14ac:dyDescent="0.35">
      <c r="B73" s="6">
        <v>45875</v>
      </c>
      <c r="C73" t="s">
        <v>75</v>
      </c>
      <c r="D73">
        <v>1</v>
      </c>
    </row>
    <row r="74" spans="2:4" x14ac:dyDescent="0.35">
      <c r="B74" s="6">
        <v>45875</v>
      </c>
      <c r="C74" t="s">
        <v>33</v>
      </c>
      <c r="D74">
        <v>1</v>
      </c>
    </row>
    <row r="75" spans="2:4" x14ac:dyDescent="0.35">
      <c r="B75" s="6">
        <v>45875</v>
      </c>
      <c r="C75" t="s">
        <v>70</v>
      </c>
      <c r="D75">
        <v>1</v>
      </c>
    </row>
    <row r="76" spans="2:4" x14ac:dyDescent="0.35">
      <c r="B76" s="6">
        <v>45875</v>
      </c>
      <c r="C76" t="s">
        <v>144</v>
      </c>
      <c r="D76">
        <v>1</v>
      </c>
    </row>
    <row r="77" spans="2:4" x14ac:dyDescent="0.35">
      <c r="B77" s="6">
        <v>45875</v>
      </c>
      <c r="C77" t="s">
        <v>47</v>
      </c>
      <c r="D77">
        <v>1</v>
      </c>
    </row>
    <row r="78" spans="2:4" x14ac:dyDescent="0.35">
      <c r="B78" s="6">
        <v>45875</v>
      </c>
      <c r="C78" t="s">
        <v>179</v>
      </c>
      <c r="D78">
        <v>1</v>
      </c>
    </row>
    <row r="79" spans="2:4" x14ac:dyDescent="0.35">
      <c r="B79" s="6">
        <v>45875</v>
      </c>
      <c r="C79" t="s">
        <v>97</v>
      </c>
      <c r="D79">
        <v>1</v>
      </c>
    </row>
    <row r="80" spans="2:4" x14ac:dyDescent="0.35">
      <c r="B80" s="6">
        <v>45875</v>
      </c>
      <c r="C80" t="s">
        <v>161</v>
      </c>
      <c r="D80">
        <v>1</v>
      </c>
    </row>
    <row r="81" spans="2:4" x14ac:dyDescent="0.35">
      <c r="B81" s="6">
        <v>45875</v>
      </c>
      <c r="C81" t="s">
        <v>10</v>
      </c>
      <c r="D81">
        <v>1</v>
      </c>
    </row>
    <row r="82" spans="2:4" x14ac:dyDescent="0.35">
      <c r="B82" s="6">
        <v>45875</v>
      </c>
      <c r="C82" t="s">
        <v>9</v>
      </c>
      <c r="D82">
        <v>1</v>
      </c>
    </row>
    <row r="83" spans="2:4" x14ac:dyDescent="0.35">
      <c r="B83" s="6">
        <v>45875</v>
      </c>
      <c r="C83" t="s">
        <v>165</v>
      </c>
      <c r="D83">
        <v>1</v>
      </c>
    </row>
    <row r="84" spans="2:4" x14ac:dyDescent="0.35">
      <c r="B84" s="6">
        <v>45875</v>
      </c>
      <c r="C84" t="s">
        <v>212</v>
      </c>
      <c r="D84">
        <v>2</v>
      </c>
    </row>
    <row r="85" spans="2:4" x14ac:dyDescent="0.35">
      <c r="B85" s="6">
        <v>45875</v>
      </c>
      <c r="C85" t="s">
        <v>121</v>
      </c>
      <c r="D85">
        <v>1</v>
      </c>
    </row>
    <row r="86" spans="2:4" x14ac:dyDescent="0.35">
      <c r="B86" s="6">
        <v>45875</v>
      </c>
      <c r="C86" t="s">
        <v>119</v>
      </c>
      <c r="D86">
        <v>1</v>
      </c>
    </row>
    <row r="87" spans="2:4" x14ac:dyDescent="0.35">
      <c r="B87" s="6">
        <v>45875</v>
      </c>
      <c r="C87" t="s">
        <v>147</v>
      </c>
      <c r="D87">
        <v>1</v>
      </c>
    </row>
    <row r="88" spans="2:4" x14ac:dyDescent="0.35">
      <c r="B88" s="6">
        <v>45875</v>
      </c>
      <c r="C88" t="s">
        <v>28</v>
      </c>
      <c r="D88">
        <v>1</v>
      </c>
    </row>
    <row r="89" spans="2:4" x14ac:dyDescent="0.35">
      <c r="B89" s="6">
        <v>45875</v>
      </c>
      <c r="C89" t="s">
        <v>30</v>
      </c>
      <c r="D89">
        <v>1</v>
      </c>
    </row>
    <row r="90" spans="2:4" x14ac:dyDescent="0.35">
      <c r="B90" s="6">
        <v>45876</v>
      </c>
      <c r="C90" t="s">
        <v>168</v>
      </c>
      <c r="D90">
        <v>1</v>
      </c>
    </row>
    <row r="91" spans="2:4" x14ac:dyDescent="0.35">
      <c r="B91" s="6">
        <v>45876</v>
      </c>
      <c r="C91" t="s">
        <v>192</v>
      </c>
      <c r="D91">
        <v>1</v>
      </c>
    </row>
    <row r="92" spans="2:4" x14ac:dyDescent="0.35">
      <c r="B92" s="6">
        <v>45876</v>
      </c>
      <c r="C92" t="s">
        <v>83</v>
      </c>
      <c r="D92">
        <v>1</v>
      </c>
    </row>
    <row r="93" spans="2:4" x14ac:dyDescent="0.35">
      <c r="B93" s="6">
        <v>45876</v>
      </c>
      <c r="C93" t="s">
        <v>77</v>
      </c>
      <c r="D93">
        <v>1</v>
      </c>
    </row>
    <row r="94" spans="2:4" x14ac:dyDescent="0.35">
      <c r="B94" s="6">
        <v>45876</v>
      </c>
      <c r="C94" t="s">
        <v>189</v>
      </c>
      <c r="D94">
        <v>1</v>
      </c>
    </row>
    <row r="95" spans="2:4" x14ac:dyDescent="0.35">
      <c r="B95" s="6">
        <v>45876</v>
      </c>
      <c r="C95" t="s">
        <v>199</v>
      </c>
      <c r="D95">
        <v>1</v>
      </c>
    </row>
    <row r="96" spans="2:4" x14ac:dyDescent="0.35">
      <c r="B96" s="6">
        <v>45876</v>
      </c>
      <c r="C96" t="s">
        <v>186</v>
      </c>
      <c r="D96">
        <v>2</v>
      </c>
    </row>
    <row r="97" spans="2:4" x14ac:dyDescent="0.35">
      <c r="B97" s="6">
        <v>45876</v>
      </c>
      <c r="C97" t="s">
        <v>152</v>
      </c>
      <c r="D97">
        <v>2</v>
      </c>
    </row>
    <row r="98" spans="2:4" x14ac:dyDescent="0.35">
      <c r="B98" s="6">
        <v>45876</v>
      </c>
      <c r="C98" t="s">
        <v>167</v>
      </c>
      <c r="D98">
        <v>3</v>
      </c>
    </row>
    <row r="99" spans="2:4" x14ac:dyDescent="0.35">
      <c r="B99" s="6">
        <v>45876</v>
      </c>
      <c r="C99" t="s">
        <v>66</v>
      </c>
      <c r="D99">
        <v>1</v>
      </c>
    </row>
    <row r="100" spans="2:4" x14ac:dyDescent="0.35">
      <c r="B100" s="6">
        <v>45876</v>
      </c>
      <c r="C100" t="s">
        <v>140</v>
      </c>
      <c r="D100">
        <v>2</v>
      </c>
    </row>
    <row r="101" spans="2:4" x14ac:dyDescent="0.35">
      <c r="B101" s="6">
        <v>45876</v>
      </c>
      <c r="C101" t="s">
        <v>197</v>
      </c>
      <c r="D101">
        <v>1</v>
      </c>
    </row>
    <row r="102" spans="2:4" x14ac:dyDescent="0.35">
      <c r="B102" s="6">
        <v>45876</v>
      </c>
      <c r="C102" t="s">
        <v>51</v>
      </c>
      <c r="D102">
        <v>1</v>
      </c>
    </row>
    <row r="103" spans="2:4" x14ac:dyDescent="0.35">
      <c r="B103" s="6">
        <v>45876</v>
      </c>
      <c r="C103" t="s">
        <v>50</v>
      </c>
      <c r="D103">
        <v>1</v>
      </c>
    </row>
    <row r="104" spans="2:4" x14ac:dyDescent="0.35">
      <c r="B104" s="6">
        <v>45876</v>
      </c>
      <c r="C104" t="s">
        <v>53</v>
      </c>
      <c r="D104">
        <v>1</v>
      </c>
    </row>
    <row r="105" spans="2:4" x14ac:dyDescent="0.35">
      <c r="B105" s="6">
        <v>45876</v>
      </c>
      <c r="C105" t="s">
        <v>54</v>
      </c>
      <c r="D105">
        <v>3</v>
      </c>
    </row>
    <row r="106" spans="2:4" x14ac:dyDescent="0.35">
      <c r="B106" s="6">
        <v>45876</v>
      </c>
      <c r="C106" t="s">
        <v>64</v>
      </c>
      <c r="D106">
        <v>1</v>
      </c>
    </row>
    <row r="107" spans="2:4" x14ac:dyDescent="0.35">
      <c r="B107" s="6">
        <v>45876</v>
      </c>
      <c r="C107" t="s">
        <v>63</v>
      </c>
      <c r="D107">
        <v>1</v>
      </c>
    </row>
    <row r="108" spans="2:4" x14ac:dyDescent="0.35">
      <c r="B108" s="6">
        <v>45876</v>
      </c>
      <c r="C108" t="s">
        <v>14</v>
      </c>
      <c r="D108">
        <v>1</v>
      </c>
    </row>
    <row r="109" spans="2:4" x14ac:dyDescent="0.35">
      <c r="B109" s="6">
        <v>45876</v>
      </c>
      <c r="C109" t="s">
        <v>206</v>
      </c>
      <c r="D109">
        <v>1</v>
      </c>
    </row>
    <row r="110" spans="2:4" x14ac:dyDescent="0.35">
      <c r="B110" s="6">
        <v>45876</v>
      </c>
      <c r="C110" t="s">
        <v>55</v>
      </c>
      <c r="D110">
        <v>2</v>
      </c>
    </row>
    <row r="111" spans="2:4" x14ac:dyDescent="0.35">
      <c r="B111" s="6">
        <v>45876</v>
      </c>
      <c r="C111" t="s">
        <v>173</v>
      </c>
      <c r="D111">
        <v>1</v>
      </c>
    </row>
    <row r="112" spans="2:4" x14ac:dyDescent="0.35">
      <c r="B112" s="6">
        <v>45877</v>
      </c>
      <c r="C112" t="s">
        <v>58</v>
      </c>
      <c r="D112">
        <v>1</v>
      </c>
    </row>
    <row r="113" spans="2:4" x14ac:dyDescent="0.35">
      <c r="B113" s="6">
        <v>45877</v>
      </c>
      <c r="C113" t="s">
        <v>104</v>
      </c>
      <c r="D113">
        <v>1</v>
      </c>
    </row>
    <row r="114" spans="2:4" x14ac:dyDescent="0.35">
      <c r="B114" s="6">
        <v>45877</v>
      </c>
      <c r="C114" t="s">
        <v>175</v>
      </c>
      <c r="D114">
        <v>1</v>
      </c>
    </row>
    <row r="115" spans="2:4" x14ac:dyDescent="0.35">
      <c r="B115" s="6">
        <v>45877</v>
      </c>
      <c r="C115" t="s">
        <v>15</v>
      </c>
      <c r="D115">
        <v>1</v>
      </c>
    </row>
    <row r="116" spans="2:4" x14ac:dyDescent="0.35">
      <c r="B116" s="6">
        <v>45877</v>
      </c>
      <c r="C116" t="s">
        <v>24</v>
      </c>
      <c r="D116">
        <v>1</v>
      </c>
    </row>
    <row r="117" spans="2:4" x14ac:dyDescent="0.35">
      <c r="B117" s="6">
        <v>45877</v>
      </c>
      <c r="C117" t="s">
        <v>206</v>
      </c>
      <c r="D117">
        <v>3</v>
      </c>
    </row>
    <row r="118" spans="2:4" x14ac:dyDescent="0.35">
      <c r="B118" s="6">
        <v>45877</v>
      </c>
      <c r="C118" t="s">
        <v>133</v>
      </c>
      <c r="D118">
        <v>2</v>
      </c>
    </row>
    <row r="119" spans="2:4" x14ac:dyDescent="0.35">
      <c r="B119" s="6">
        <v>45877</v>
      </c>
      <c r="C119" t="s">
        <v>146</v>
      </c>
      <c r="D119">
        <v>2</v>
      </c>
    </row>
    <row r="120" spans="2:4" x14ac:dyDescent="0.35">
      <c r="B120" s="6">
        <v>45877</v>
      </c>
      <c r="C120" t="s">
        <v>198</v>
      </c>
      <c r="D120">
        <v>1</v>
      </c>
    </row>
    <row r="121" spans="2:4" x14ac:dyDescent="0.35">
      <c r="B121" s="6">
        <v>45877</v>
      </c>
      <c r="C121" t="s">
        <v>128</v>
      </c>
      <c r="D121">
        <v>1</v>
      </c>
    </row>
    <row r="122" spans="2:4" x14ac:dyDescent="0.35">
      <c r="B122" s="6">
        <v>45877</v>
      </c>
      <c r="C122" t="s">
        <v>160</v>
      </c>
      <c r="D122">
        <v>2</v>
      </c>
    </row>
    <row r="123" spans="2:4" x14ac:dyDescent="0.35">
      <c r="B123" s="6">
        <v>45877</v>
      </c>
      <c r="C123" t="s">
        <v>207</v>
      </c>
      <c r="D123">
        <v>1</v>
      </c>
    </row>
    <row r="124" spans="2:4" x14ac:dyDescent="0.35">
      <c r="B124" s="6">
        <v>45877</v>
      </c>
      <c r="C124" t="s">
        <v>170</v>
      </c>
      <c r="D124">
        <v>1</v>
      </c>
    </row>
    <row r="125" spans="2:4" x14ac:dyDescent="0.35">
      <c r="B125" s="6">
        <v>45877</v>
      </c>
      <c r="C125" t="s">
        <v>177</v>
      </c>
      <c r="D125">
        <v>1</v>
      </c>
    </row>
    <row r="126" spans="2:4" x14ac:dyDescent="0.35">
      <c r="B126" s="6">
        <v>45877</v>
      </c>
      <c r="C126" t="s">
        <v>31</v>
      </c>
      <c r="D126">
        <v>1</v>
      </c>
    </row>
    <row r="127" spans="2:4" x14ac:dyDescent="0.35">
      <c r="B127" s="6">
        <v>45877</v>
      </c>
      <c r="C127" t="s">
        <v>216</v>
      </c>
      <c r="D127">
        <v>2</v>
      </c>
    </row>
    <row r="128" spans="2:4" x14ac:dyDescent="0.35">
      <c r="B128" s="6">
        <v>45877</v>
      </c>
      <c r="C128" t="s">
        <v>194</v>
      </c>
      <c r="D128">
        <v>1</v>
      </c>
    </row>
    <row r="129" spans="2:4" x14ac:dyDescent="0.35">
      <c r="B129" s="6">
        <v>45878</v>
      </c>
      <c r="C129" t="s">
        <v>67</v>
      </c>
      <c r="D129">
        <v>2</v>
      </c>
    </row>
    <row r="130" spans="2:4" x14ac:dyDescent="0.35">
      <c r="B130" s="6">
        <v>45878</v>
      </c>
      <c r="C130" t="s">
        <v>205</v>
      </c>
      <c r="D130">
        <v>2</v>
      </c>
    </row>
    <row r="131" spans="2:4" x14ac:dyDescent="0.35">
      <c r="B131" s="6">
        <v>45878</v>
      </c>
      <c r="C131" t="s">
        <v>135</v>
      </c>
      <c r="D131">
        <v>1</v>
      </c>
    </row>
    <row r="132" spans="2:4" x14ac:dyDescent="0.35">
      <c r="B132" s="6">
        <v>45878</v>
      </c>
      <c r="C132" t="s">
        <v>207</v>
      </c>
      <c r="D132">
        <v>2</v>
      </c>
    </row>
    <row r="133" spans="2:4" x14ac:dyDescent="0.35">
      <c r="B133" s="6">
        <v>45878</v>
      </c>
      <c r="C133" t="s">
        <v>167</v>
      </c>
      <c r="D133">
        <v>2</v>
      </c>
    </row>
    <row r="134" spans="2:4" x14ac:dyDescent="0.35">
      <c r="B134" s="6">
        <v>45878</v>
      </c>
      <c r="C134" t="s">
        <v>201</v>
      </c>
      <c r="D134">
        <v>2</v>
      </c>
    </row>
    <row r="135" spans="2:4" x14ac:dyDescent="0.35">
      <c r="B135" s="6">
        <v>45878</v>
      </c>
      <c r="C135" t="s">
        <v>83</v>
      </c>
      <c r="D135">
        <v>1</v>
      </c>
    </row>
    <row r="136" spans="2:4" x14ac:dyDescent="0.35">
      <c r="B136" s="6">
        <v>45878</v>
      </c>
      <c r="C136" t="s">
        <v>107</v>
      </c>
      <c r="D136">
        <v>1</v>
      </c>
    </row>
    <row r="137" spans="2:4" x14ac:dyDescent="0.35">
      <c r="B137" s="6">
        <v>45878</v>
      </c>
      <c r="C137" t="s">
        <v>194</v>
      </c>
      <c r="D137">
        <v>1</v>
      </c>
    </row>
    <row r="138" spans="2:4" x14ac:dyDescent="0.35">
      <c r="B138" s="6">
        <v>45878</v>
      </c>
      <c r="C138" t="s">
        <v>134</v>
      </c>
      <c r="D138">
        <v>2</v>
      </c>
    </row>
    <row r="139" spans="2:4" x14ac:dyDescent="0.35">
      <c r="B139" s="6">
        <v>45878</v>
      </c>
      <c r="C139" t="s">
        <v>212</v>
      </c>
      <c r="D139">
        <v>1</v>
      </c>
    </row>
    <row r="140" spans="2:4" x14ac:dyDescent="0.35">
      <c r="B140" s="6">
        <v>45878</v>
      </c>
      <c r="C140" t="s">
        <v>13</v>
      </c>
      <c r="D140">
        <v>1</v>
      </c>
    </row>
    <row r="141" spans="2:4" x14ac:dyDescent="0.35">
      <c r="B141" s="6">
        <v>45878</v>
      </c>
      <c r="C141" t="s">
        <v>142</v>
      </c>
      <c r="D141">
        <v>1</v>
      </c>
    </row>
    <row r="142" spans="2:4" x14ac:dyDescent="0.35">
      <c r="B142" s="6">
        <v>45878</v>
      </c>
      <c r="C142" s="2" t="s">
        <v>95</v>
      </c>
      <c r="D142">
        <v>1</v>
      </c>
    </row>
    <row r="143" spans="2:4" x14ac:dyDescent="0.35">
      <c r="B143" s="6">
        <v>45878</v>
      </c>
      <c r="C143" s="2" t="s">
        <v>44</v>
      </c>
      <c r="D143">
        <v>2</v>
      </c>
    </row>
    <row r="144" spans="2:4" x14ac:dyDescent="0.35">
      <c r="B144" s="6">
        <v>45878</v>
      </c>
      <c r="C144" s="2" t="s">
        <v>42</v>
      </c>
      <c r="D144">
        <v>2</v>
      </c>
    </row>
    <row r="145" spans="2:4" x14ac:dyDescent="0.35">
      <c r="B145" s="6">
        <v>45878</v>
      </c>
      <c r="C145" s="2" t="s">
        <v>41</v>
      </c>
      <c r="D145">
        <v>2</v>
      </c>
    </row>
    <row r="146" spans="2:4" x14ac:dyDescent="0.35">
      <c r="B146" s="6">
        <v>45878</v>
      </c>
      <c r="C146" s="9" t="s">
        <v>163</v>
      </c>
      <c r="D146">
        <v>3</v>
      </c>
    </row>
    <row r="147" spans="2:4" x14ac:dyDescent="0.35">
      <c r="B147" s="6">
        <v>45878</v>
      </c>
      <c r="C147" s="9" t="s">
        <v>166</v>
      </c>
      <c r="D147">
        <v>4</v>
      </c>
    </row>
    <row r="148" spans="2:4" x14ac:dyDescent="0.35">
      <c r="B148" s="6">
        <v>45878</v>
      </c>
      <c r="C148" s="9" t="s">
        <v>159</v>
      </c>
      <c r="D148">
        <v>1</v>
      </c>
    </row>
    <row r="149" spans="2:4" x14ac:dyDescent="0.35">
      <c r="B149" s="6">
        <v>45880</v>
      </c>
      <c r="C149" s="2" t="s">
        <v>86</v>
      </c>
      <c r="D149">
        <v>1</v>
      </c>
    </row>
    <row r="150" spans="2:4" x14ac:dyDescent="0.35">
      <c r="B150" s="6">
        <v>45880</v>
      </c>
      <c r="C150" s="2" t="s">
        <v>102</v>
      </c>
      <c r="D150">
        <v>1</v>
      </c>
    </row>
    <row r="151" spans="2:4" x14ac:dyDescent="0.35">
      <c r="B151" s="6">
        <v>45880</v>
      </c>
      <c r="C151" s="2" t="s">
        <v>105</v>
      </c>
      <c r="D151">
        <v>1</v>
      </c>
    </row>
    <row r="152" spans="2:4" x14ac:dyDescent="0.35">
      <c r="B152" s="6">
        <v>45880</v>
      </c>
      <c r="C152" s="2" t="s">
        <v>104</v>
      </c>
      <c r="D152">
        <v>1</v>
      </c>
    </row>
    <row r="153" spans="2:4" x14ac:dyDescent="0.35">
      <c r="B153" s="6">
        <v>45880</v>
      </c>
      <c r="C153" s="2" t="s">
        <v>110</v>
      </c>
      <c r="D153">
        <v>1</v>
      </c>
    </row>
    <row r="154" spans="2:4" x14ac:dyDescent="0.35">
      <c r="B154" s="6">
        <v>45880</v>
      </c>
      <c r="C154" s="9" t="s">
        <v>131</v>
      </c>
      <c r="D154">
        <v>3</v>
      </c>
    </row>
    <row r="155" spans="2:4" x14ac:dyDescent="0.35">
      <c r="B155" s="6">
        <v>45880</v>
      </c>
      <c r="C155" s="9" t="s">
        <v>133</v>
      </c>
      <c r="D155">
        <v>2</v>
      </c>
    </row>
    <row r="156" spans="2:4" x14ac:dyDescent="0.35">
      <c r="B156" s="6">
        <v>45880</v>
      </c>
      <c r="C156" s="9" t="s">
        <v>145</v>
      </c>
      <c r="D156">
        <v>1</v>
      </c>
    </row>
    <row r="157" spans="2:4" x14ac:dyDescent="0.35">
      <c r="B157" s="6">
        <v>45880</v>
      </c>
      <c r="C157" s="2" t="s">
        <v>46</v>
      </c>
      <c r="D157">
        <v>2</v>
      </c>
    </row>
    <row r="158" spans="2:4" x14ac:dyDescent="0.35">
      <c r="B158" s="6">
        <v>45880</v>
      </c>
      <c r="C158" s="2" t="s">
        <v>49</v>
      </c>
      <c r="D158">
        <v>1</v>
      </c>
    </row>
    <row r="159" spans="2:4" x14ac:dyDescent="0.35">
      <c r="B159" s="6">
        <v>45880</v>
      </c>
      <c r="C159" s="2" t="s">
        <v>16</v>
      </c>
      <c r="D159">
        <v>1</v>
      </c>
    </row>
    <row r="160" spans="2:4" x14ac:dyDescent="0.35">
      <c r="B160" s="6">
        <v>45880</v>
      </c>
      <c r="C160" s="9" t="s">
        <v>182</v>
      </c>
      <c r="D160">
        <v>1</v>
      </c>
    </row>
    <row r="161" spans="2:4" x14ac:dyDescent="0.35">
      <c r="B161" s="6">
        <v>45880</v>
      </c>
      <c r="C161" s="9" t="s">
        <v>180</v>
      </c>
      <c r="D161">
        <v>5</v>
      </c>
    </row>
    <row r="162" spans="2:4" x14ac:dyDescent="0.35">
      <c r="B162" s="6">
        <v>45880</v>
      </c>
      <c r="C162" s="2" t="s">
        <v>74</v>
      </c>
      <c r="D162">
        <v>1</v>
      </c>
    </row>
    <row r="163" spans="2:4" x14ac:dyDescent="0.35">
      <c r="B163" s="6">
        <v>45880</v>
      </c>
      <c r="C163" s="9" t="s">
        <v>141</v>
      </c>
      <c r="D163">
        <v>1</v>
      </c>
    </row>
    <row r="164" spans="2:4" x14ac:dyDescent="0.35">
      <c r="B164" s="6">
        <v>45880</v>
      </c>
      <c r="C164" s="2" t="s">
        <v>40</v>
      </c>
      <c r="D164">
        <v>2</v>
      </c>
    </row>
    <row r="165" spans="2:4" x14ac:dyDescent="0.35">
      <c r="B165" s="6">
        <v>45880</v>
      </c>
      <c r="C165" s="2" t="s">
        <v>96</v>
      </c>
      <c r="D165">
        <v>1</v>
      </c>
    </row>
    <row r="166" spans="2:4" x14ac:dyDescent="0.35">
      <c r="B166" s="6">
        <v>45880</v>
      </c>
      <c r="C166" s="2" t="s">
        <v>111</v>
      </c>
      <c r="D166">
        <v>1</v>
      </c>
    </row>
    <row r="167" spans="2:4" x14ac:dyDescent="0.35">
      <c r="B167" s="6">
        <v>45880</v>
      </c>
      <c r="C167" s="2" t="s">
        <v>52</v>
      </c>
      <c r="D167">
        <v>2</v>
      </c>
    </row>
    <row r="168" spans="2:4" x14ac:dyDescent="0.35">
      <c r="B168" s="6">
        <v>45880</v>
      </c>
      <c r="C168" s="2" t="s">
        <v>85</v>
      </c>
      <c r="D168">
        <v>1</v>
      </c>
    </row>
    <row r="169" spans="2:4" x14ac:dyDescent="0.35">
      <c r="B169" s="6">
        <v>45880</v>
      </c>
      <c r="C169" s="9" t="s">
        <v>200</v>
      </c>
      <c r="D169">
        <v>1</v>
      </c>
    </row>
    <row r="170" spans="2:4" x14ac:dyDescent="0.35">
      <c r="B170" s="6">
        <v>45880</v>
      </c>
      <c r="C170" s="9" t="s">
        <v>158</v>
      </c>
      <c r="D170">
        <v>3</v>
      </c>
    </row>
    <row r="171" spans="2:4" x14ac:dyDescent="0.35">
      <c r="B171" s="6">
        <v>45880</v>
      </c>
      <c r="C171" s="9" t="s">
        <v>162</v>
      </c>
      <c r="D171">
        <v>1</v>
      </c>
    </row>
    <row r="172" spans="2:4" x14ac:dyDescent="0.35">
      <c r="B172" s="6">
        <v>45880</v>
      </c>
      <c r="C172" s="2" t="s">
        <v>39</v>
      </c>
      <c r="D172">
        <v>2</v>
      </c>
    </row>
    <row r="173" spans="2:4" x14ac:dyDescent="0.35">
      <c r="B173" s="6">
        <v>45880</v>
      </c>
      <c r="C173" s="9" t="s">
        <v>218</v>
      </c>
      <c r="D173">
        <v>2</v>
      </c>
    </row>
    <row r="174" spans="2:4" x14ac:dyDescent="0.35">
      <c r="B174" s="6">
        <v>45880</v>
      </c>
      <c r="C174" s="9" t="s">
        <v>124</v>
      </c>
      <c r="D174">
        <v>3</v>
      </c>
    </row>
    <row r="175" spans="2:4" x14ac:dyDescent="0.35">
      <c r="B175" s="6">
        <v>45880</v>
      </c>
      <c r="C175" s="9" t="s">
        <v>122</v>
      </c>
      <c r="D175">
        <v>3</v>
      </c>
    </row>
    <row r="176" spans="2:4" x14ac:dyDescent="0.35">
      <c r="B176" s="6">
        <v>45880</v>
      </c>
      <c r="C176" s="2" t="s">
        <v>34</v>
      </c>
      <c r="D176">
        <v>1</v>
      </c>
    </row>
    <row r="177" spans="2:4" x14ac:dyDescent="0.35">
      <c r="B177" s="6">
        <v>45880</v>
      </c>
      <c r="C177" s="2" t="s">
        <v>80</v>
      </c>
      <c r="D177">
        <v>1</v>
      </c>
    </row>
    <row r="178" spans="2:4" x14ac:dyDescent="0.35">
      <c r="B178" s="6">
        <v>45880</v>
      </c>
      <c r="C178" s="9" t="s">
        <v>157</v>
      </c>
      <c r="D178">
        <v>1</v>
      </c>
    </row>
    <row r="179" spans="2:4" x14ac:dyDescent="0.35">
      <c r="B179" s="6">
        <v>45881</v>
      </c>
      <c r="C179" s="9" t="s">
        <v>120</v>
      </c>
      <c r="D179">
        <v>1</v>
      </c>
    </row>
    <row r="180" spans="2:4" x14ac:dyDescent="0.35">
      <c r="B180" s="6">
        <v>45881</v>
      </c>
      <c r="C180" s="9" t="s">
        <v>196</v>
      </c>
      <c r="D180">
        <v>2</v>
      </c>
    </row>
    <row r="181" spans="2:4" x14ac:dyDescent="0.35">
      <c r="B181" s="6">
        <v>45881</v>
      </c>
      <c r="C181" s="9" t="s">
        <v>151</v>
      </c>
      <c r="D181">
        <v>1</v>
      </c>
    </row>
    <row r="182" spans="2:4" x14ac:dyDescent="0.35">
      <c r="B182" s="6">
        <v>45881</v>
      </c>
      <c r="C182" s="2" t="s">
        <v>32</v>
      </c>
      <c r="D182">
        <v>2</v>
      </c>
    </row>
    <row r="183" spans="2:4" x14ac:dyDescent="0.35">
      <c r="B183" s="6">
        <v>45881</v>
      </c>
      <c r="C183" s="9" t="s">
        <v>148</v>
      </c>
      <c r="D183">
        <v>2</v>
      </c>
    </row>
    <row r="184" spans="2:4" x14ac:dyDescent="0.35">
      <c r="B184" s="6">
        <v>45881</v>
      </c>
      <c r="C184" s="9" t="s">
        <v>139</v>
      </c>
      <c r="D184">
        <v>1</v>
      </c>
    </row>
    <row r="185" spans="2:4" x14ac:dyDescent="0.35">
      <c r="B185" s="6">
        <v>45881</v>
      </c>
      <c r="C185" s="2" t="s">
        <v>45</v>
      </c>
      <c r="D185">
        <v>1</v>
      </c>
    </row>
    <row r="186" spans="2:4" x14ac:dyDescent="0.35">
      <c r="B186" s="6">
        <v>45881</v>
      </c>
      <c r="C186" s="9" t="s">
        <v>132</v>
      </c>
      <c r="D186">
        <v>1</v>
      </c>
    </row>
    <row r="187" spans="2:4" x14ac:dyDescent="0.35">
      <c r="B187" s="6">
        <v>45881</v>
      </c>
      <c r="C187" s="9" t="s">
        <v>124</v>
      </c>
      <c r="D187">
        <v>5</v>
      </c>
    </row>
    <row r="188" spans="2:4" x14ac:dyDescent="0.35">
      <c r="B188" s="6">
        <v>45881</v>
      </c>
      <c r="C188" s="9" t="s">
        <v>122</v>
      </c>
      <c r="D188">
        <v>5</v>
      </c>
    </row>
    <row r="189" spans="2:4" x14ac:dyDescent="0.35">
      <c r="B189" s="6">
        <v>45881</v>
      </c>
      <c r="C189" s="9" t="s">
        <v>196</v>
      </c>
      <c r="D189">
        <v>5</v>
      </c>
    </row>
    <row r="190" spans="2:4" x14ac:dyDescent="0.35">
      <c r="B190" s="6">
        <v>45881</v>
      </c>
      <c r="C190" s="9" t="s">
        <v>138</v>
      </c>
      <c r="D190">
        <v>5</v>
      </c>
    </row>
    <row r="191" spans="2:4" x14ac:dyDescent="0.35">
      <c r="B191" s="6">
        <v>45881</v>
      </c>
      <c r="C191" s="9" t="s">
        <v>154</v>
      </c>
      <c r="D191">
        <v>3</v>
      </c>
    </row>
    <row r="192" spans="2:4" x14ac:dyDescent="0.35">
      <c r="B192" s="6">
        <v>45881</v>
      </c>
      <c r="C192" s="9" t="s">
        <v>130</v>
      </c>
      <c r="D192">
        <v>1</v>
      </c>
    </row>
    <row r="193" spans="2:4" x14ac:dyDescent="0.35">
      <c r="B193" s="6">
        <v>45881</v>
      </c>
      <c r="C193" s="2" t="s">
        <v>106</v>
      </c>
      <c r="D193">
        <v>2</v>
      </c>
    </row>
    <row r="194" spans="2:4" x14ac:dyDescent="0.35">
      <c r="B194" s="6">
        <v>45881</v>
      </c>
      <c r="C194" s="2" t="s">
        <v>113</v>
      </c>
      <c r="D194">
        <v>1</v>
      </c>
    </row>
    <row r="195" spans="2:4" x14ac:dyDescent="0.35">
      <c r="B195" s="6">
        <v>45881</v>
      </c>
      <c r="C195" s="2" t="s">
        <v>12</v>
      </c>
      <c r="D195">
        <v>1</v>
      </c>
    </row>
    <row r="196" spans="2:4" x14ac:dyDescent="0.35">
      <c r="B196" s="6">
        <v>45881</v>
      </c>
      <c r="C196" s="2" t="s">
        <v>62</v>
      </c>
      <c r="D196">
        <v>2</v>
      </c>
    </row>
    <row r="197" spans="2:4" x14ac:dyDescent="0.35">
      <c r="B197" s="6">
        <v>45881</v>
      </c>
      <c r="C197" s="9" t="s">
        <v>139</v>
      </c>
      <c r="D197">
        <v>1</v>
      </c>
    </row>
    <row r="198" spans="2:4" x14ac:dyDescent="0.35">
      <c r="B198" s="6">
        <v>45881</v>
      </c>
      <c r="C198" s="9" t="s">
        <v>155</v>
      </c>
      <c r="D198">
        <v>1</v>
      </c>
    </row>
    <row r="199" spans="2:4" x14ac:dyDescent="0.35">
      <c r="B199" s="6">
        <v>45881</v>
      </c>
      <c r="C199" s="9" t="s">
        <v>209</v>
      </c>
      <c r="D199">
        <v>2</v>
      </c>
    </row>
    <row r="200" spans="2:4" x14ac:dyDescent="0.35">
      <c r="B200" s="6">
        <v>45881</v>
      </c>
      <c r="C200" s="9" t="s">
        <v>208</v>
      </c>
      <c r="D200">
        <v>1</v>
      </c>
    </row>
    <row r="201" spans="2:4" x14ac:dyDescent="0.35">
      <c r="B201" s="6">
        <v>45881</v>
      </c>
      <c r="C201" s="9" t="s">
        <v>149</v>
      </c>
      <c r="D201">
        <v>1</v>
      </c>
    </row>
    <row r="202" spans="2:4" x14ac:dyDescent="0.35">
      <c r="B202" s="6">
        <v>45881</v>
      </c>
      <c r="C202" s="1" t="s">
        <v>11</v>
      </c>
      <c r="D202">
        <v>1</v>
      </c>
    </row>
    <row r="203" spans="2:4" x14ac:dyDescent="0.35">
      <c r="B203" s="6">
        <v>45881</v>
      </c>
      <c r="C203" s="2" t="s">
        <v>56</v>
      </c>
      <c r="D203">
        <v>2</v>
      </c>
    </row>
    <row r="204" spans="2:4" x14ac:dyDescent="0.35">
      <c r="B204" s="6">
        <v>45881</v>
      </c>
      <c r="C204" s="9" t="s">
        <v>153</v>
      </c>
      <c r="D204">
        <v>1</v>
      </c>
    </row>
    <row r="205" spans="2:4" x14ac:dyDescent="0.35">
      <c r="B205" s="6">
        <v>45881</v>
      </c>
      <c r="C205" s="9" t="s">
        <v>215</v>
      </c>
      <c r="D205">
        <v>3</v>
      </c>
    </row>
    <row r="206" spans="2:4" x14ac:dyDescent="0.35">
      <c r="B206" s="6">
        <v>45881</v>
      </c>
      <c r="C206" s="9" t="s">
        <v>213</v>
      </c>
      <c r="D206">
        <v>3</v>
      </c>
    </row>
    <row r="207" spans="2:4" x14ac:dyDescent="0.35">
      <c r="B207" s="6">
        <v>45881</v>
      </c>
      <c r="C207" s="9" t="s">
        <v>156</v>
      </c>
      <c r="D207">
        <v>2</v>
      </c>
    </row>
    <row r="208" spans="2:4" x14ac:dyDescent="0.35">
      <c r="B208" s="6">
        <v>45881</v>
      </c>
      <c r="C208" s="2" t="s">
        <v>93</v>
      </c>
      <c r="D208">
        <v>1</v>
      </c>
    </row>
    <row r="209" spans="2:4" x14ac:dyDescent="0.35">
      <c r="B209" s="6">
        <v>45881</v>
      </c>
      <c r="C209" s="2" t="s">
        <v>78</v>
      </c>
      <c r="D209">
        <v>1</v>
      </c>
    </row>
    <row r="210" spans="2:4" x14ac:dyDescent="0.35">
      <c r="B210" s="6">
        <v>45882</v>
      </c>
      <c r="C210" s="1" t="s">
        <v>8</v>
      </c>
      <c r="D210">
        <v>1</v>
      </c>
    </row>
    <row r="211" spans="2:4" x14ac:dyDescent="0.35">
      <c r="B211" s="6">
        <v>45882</v>
      </c>
      <c r="C211" s="2" t="s">
        <v>59</v>
      </c>
      <c r="D211">
        <v>1</v>
      </c>
    </row>
    <row r="212" spans="2:4" x14ac:dyDescent="0.35">
      <c r="B212" s="6">
        <v>45882</v>
      </c>
      <c r="C212" s="9" t="s">
        <v>202</v>
      </c>
      <c r="D212">
        <v>3</v>
      </c>
    </row>
    <row r="213" spans="2:4" x14ac:dyDescent="0.35">
      <c r="B213" s="6">
        <v>45882</v>
      </c>
      <c r="C213" s="9" t="s">
        <v>204</v>
      </c>
      <c r="D213">
        <v>1</v>
      </c>
    </row>
    <row r="214" spans="2:4" x14ac:dyDescent="0.35">
      <c r="B214" s="6">
        <v>45882</v>
      </c>
      <c r="C214" s="2" t="s">
        <v>87</v>
      </c>
      <c r="D214">
        <v>1</v>
      </c>
    </row>
    <row r="215" spans="2:4" x14ac:dyDescent="0.35">
      <c r="B215" s="6">
        <v>45882</v>
      </c>
      <c r="C215" s="9" t="s">
        <v>181</v>
      </c>
      <c r="D215">
        <v>3</v>
      </c>
    </row>
    <row r="216" spans="2:4" x14ac:dyDescent="0.35">
      <c r="B216" s="6">
        <v>45882</v>
      </c>
      <c r="C216" s="9" t="s">
        <v>211</v>
      </c>
      <c r="D216">
        <v>2</v>
      </c>
    </row>
    <row r="217" spans="2:4" x14ac:dyDescent="0.35">
      <c r="B217" s="6">
        <v>45882</v>
      </c>
      <c r="C217" s="2" t="s">
        <v>82</v>
      </c>
      <c r="D217">
        <v>1</v>
      </c>
    </row>
    <row r="218" spans="2:4" x14ac:dyDescent="0.35">
      <c r="B218" s="6">
        <v>45882</v>
      </c>
      <c r="C218" s="2" t="s">
        <v>21</v>
      </c>
      <c r="D218">
        <v>1</v>
      </c>
    </row>
    <row r="219" spans="2:4" x14ac:dyDescent="0.35">
      <c r="B219" s="6">
        <v>45882</v>
      </c>
      <c r="C219" s="2" t="s">
        <v>90</v>
      </c>
      <c r="D219">
        <v>1</v>
      </c>
    </row>
    <row r="220" spans="2:4" x14ac:dyDescent="0.35">
      <c r="B220" s="6">
        <v>45882</v>
      </c>
      <c r="C220" s="2" t="s">
        <v>27</v>
      </c>
      <c r="D220">
        <v>1</v>
      </c>
    </row>
    <row r="221" spans="2:4" x14ac:dyDescent="0.35">
      <c r="B221" s="6">
        <v>45882</v>
      </c>
      <c r="C221" s="9" t="s">
        <v>166</v>
      </c>
      <c r="D221">
        <v>1</v>
      </c>
    </row>
    <row r="222" spans="2:4" x14ac:dyDescent="0.35">
      <c r="B222" s="6">
        <v>45882</v>
      </c>
      <c r="C222" s="2" t="s">
        <v>22</v>
      </c>
      <c r="D222">
        <v>1</v>
      </c>
    </row>
    <row r="223" spans="2:4" x14ac:dyDescent="0.35">
      <c r="B223" s="6">
        <v>45882</v>
      </c>
      <c r="C223" s="9" t="s">
        <v>183</v>
      </c>
      <c r="D223">
        <v>3</v>
      </c>
    </row>
    <row r="224" spans="2:4" x14ac:dyDescent="0.35">
      <c r="B224" s="6">
        <v>45882</v>
      </c>
      <c r="C224" s="9" t="s">
        <v>187</v>
      </c>
      <c r="D224">
        <v>2</v>
      </c>
    </row>
    <row r="225" spans="2:4" x14ac:dyDescent="0.35">
      <c r="B225" s="6">
        <v>45882</v>
      </c>
      <c r="C225" s="2" t="s">
        <v>23</v>
      </c>
      <c r="D225">
        <v>1</v>
      </c>
    </row>
    <row r="226" spans="2:4" x14ac:dyDescent="0.35">
      <c r="B226" s="6">
        <v>45882</v>
      </c>
      <c r="C226" s="2" t="s">
        <v>65</v>
      </c>
      <c r="D226">
        <v>2</v>
      </c>
    </row>
    <row r="227" spans="2:4" x14ac:dyDescent="0.35">
      <c r="B227" s="6">
        <v>45882</v>
      </c>
      <c r="C227" s="2" t="s">
        <v>76</v>
      </c>
      <c r="D227">
        <v>5</v>
      </c>
    </row>
    <row r="228" spans="2:4" x14ac:dyDescent="0.35">
      <c r="B228" s="6">
        <v>45882</v>
      </c>
      <c r="C228" s="9" t="s">
        <v>190</v>
      </c>
      <c r="D228">
        <v>2</v>
      </c>
    </row>
    <row r="229" spans="2:4" x14ac:dyDescent="0.35">
      <c r="B229" s="6">
        <v>45882</v>
      </c>
      <c r="C229" s="9" t="s">
        <v>191</v>
      </c>
      <c r="D229">
        <v>2</v>
      </c>
    </row>
    <row r="230" spans="2:4" x14ac:dyDescent="0.35">
      <c r="B230" s="6">
        <v>45882</v>
      </c>
      <c r="C230" s="2" t="s">
        <v>19</v>
      </c>
      <c r="D230">
        <v>1</v>
      </c>
    </row>
    <row r="231" spans="2:4" x14ac:dyDescent="0.35">
      <c r="B231" s="6">
        <v>45882</v>
      </c>
      <c r="C231" s="2" t="s">
        <v>84</v>
      </c>
      <c r="D231">
        <v>1</v>
      </c>
    </row>
    <row r="232" spans="2:4" x14ac:dyDescent="0.35">
      <c r="B232" s="6">
        <v>45883</v>
      </c>
      <c r="C232" s="9" t="s">
        <v>129</v>
      </c>
      <c r="D232">
        <v>1</v>
      </c>
    </row>
    <row r="233" spans="2:4" x14ac:dyDescent="0.35">
      <c r="B233" s="6">
        <v>45883</v>
      </c>
      <c r="C233" s="9" t="s">
        <v>136</v>
      </c>
      <c r="D233">
        <v>1</v>
      </c>
    </row>
    <row r="234" spans="2:4" x14ac:dyDescent="0.35">
      <c r="B234" s="6">
        <v>45883</v>
      </c>
      <c r="C234" s="1" t="s">
        <v>7</v>
      </c>
      <c r="D234">
        <v>2</v>
      </c>
    </row>
    <row r="235" spans="2:4" x14ac:dyDescent="0.35">
      <c r="B235" s="6">
        <v>45883</v>
      </c>
      <c r="C235" s="2" t="s">
        <v>53</v>
      </c>
      <c r="D235">
        <v>1</v>
      </c>
    </row>
    <row r="236" spans="2:4" x14ac:dyDescent="0.35">
      <c r="B236" s="6">
        <v>45883</v>
      </c>
      <c r="C236" s="2" t="s">
        <v>99</v>
      </c>
      <c r="D236">
        <v>1</v>
      </c>
    </row>
    <row r="237" spans="2:4" x14ac:dyDescent="0.35">
      <c r="B237" s="6">
        <v>45883</v>
      </c>
      <c r="C237" s="9" t="s">
        <v>190</v>
      </c>
      <c r="D237">
        <v>3</v>
      </c>
    </row>
    <row r="238" spans="2:4" x14ac:dyDescent="0.35">
      <c r="B238" s="6">
        <v>45883</v>
      </c>
      <c r="C238" s="2" t="s">
        <v>17</v>
      </c>
      <c r="D238">
        <v>1</v>
      </c>
    </row>
    <row r="239" spans="2:4" x14ac:dyDescent="0.35">
      <c r="B239" s="6">
        <v>45883</v>
      </c>
      <c r="C239" s="9" t="s">
        <v>180</v>
      </c>
      <c r="D239">
        <v>5</v>
      </c>
    </row>
    <row r="240" spans="2:4" x14ac:dyDescent="0.35">
      <c r="B240" s="6">
        <v>45883</v>
      </c>
      <c r="C240" s="2" t="s">
        <v>71</v>
      </c>
      <c r="D240">
        <v>2</v>
      </c>
    </row>
    <row r="241" spans="2:4" x14ac:dyDescent="0.35">
      <c r="B241" s="6">
        <v>45883</v>
      </c>
      <c r="C241" s="9" t="s">
        <v>186</v>
      </c>
      <c r="D241">
        <v>2</v>
      </c>
    </row>
    <row r="242" spans="2:4" x14ac:dyDescent="0.35">
      <c r="B242" s="6">
        <v>45883</v>
      </c>
      <c r="C242" s="9" t="s">
        <v>182</v>
      </c>
      <c r="D242">
        <v>3</v>
      </c>
    </row>
    <row r="243" spans="2:4" x14ac:dyDescent="0.35">
      <c r="B243" s="6">
        <v>45883</v>
      </c>
      <c r="C243" s="2" t="s">
        <v>88</v>
      </c>
      <c r="D243">
        <v>1</v>
      </c>
    </row>
    <row r="244" spans="2:4" x14ac:dyDescent="0.35">
      <c r="B244" s="6">
        <v>45883</v>
      </c>
      <c r="C244" s="9" t="s">
        <v>126</v>
      </c>
      <c r="D244">
        <v>1</v>
      </c>
    </row>
    <row r="245" spans="2:4" x14ac:dyDescent="0.35">
      <c r="B245" s="6">
        <v>45883</v>
      </c>
      <c r="C245" s="2" t="s">
        <v>100</v>
      </c>
      <c r="D245">
        <v>1</v>
      </c>
    </row>
    <row r="246" spans="2:4" x14ac:dyDescent="0.35">
      <c r="B246" s="6">
        <v>45883</v>
      </c>
      <c r="C246" s="9" t="s">
        <v>189</v>
      </c>
      <c r="D246">
        <v>2</v>
      </c>
    </row>
    <row r="247" spans="2:4" x14ac:dyDescent="0.35">
      <c r="B247" s="6">
        <v>45883</v>
      </c>
      <c r="C247" s="2" t="s">
        <v>74</v>
      </c>
      <c r="D247">
        <v>5</v>
      </c>
    </row>
    <row r="248" spans="2:4" x14ac:dyDescent="0.35">
      <c r="B248" s="6">
        <v>45883</v>
      </c>
      <c r="C248" s="9" t="s">
        <v>179</v>
      </c>
      <c r="D248">
        <v>1</v>
      </c>
    </row>
    <row r="249" spans="2:4" x14ac:dyDescent="0.35">
      <c r="B249" s="6">
        <v>45883</v>
      </c>
      <c r="C249" s="9" t="s">
        <v>202</v>
      </c>
      <c r="D249">
        <v>2</v>
      </c>
    </row>
    <row r="250" spans="2:4" x14ac:dyDescent="0.35">
      <c r="B250" s="6">
        <v>45883</v>
      </c>
      <c r="C250" s="9" t="s">
        <v>203</v>
      </c>
      <c r="D250">
        <v>2</v>
      </c>
    </row>
    <row r="251" spans="2:4" x14ac:dyDescent="0.35">
      <c r="B251" s="6">
        <v>45883</v>
      </c>
      <c r="C251" s="9" t="s">
        <v>185</v>
      </c>
      <c r="D251">
        <v>1</v>
      </c>
    </row>
    <row r="252" spans="2:4" x14ac:dyDescent="0.35">
      <c r="B252" s="6">
        <v>45883</v>
      </c>
      <c r="C252" s="9" t="s">
        <v>205</v>
      </c>
      <c r="D252">
        <v>1</v>
      </c>
    </row>
    <row r="253" spans="2:4" x14ac:dyDescent="0.35">
      <c r="B253" s="6">
        <v>45883</v>
      </c>
      <c r="C253" s="9" t="s">
        <v>183</v>
      </c>
      <c r="D253">
        <v>2</v>
      </c>
    </row>
    <row r="254" spans="2:4" x14ac:dyDescent="0.35">
      <c r="B254" s="6">
        <v>45883</v>
      </c>
      <c r="C254" s="9" t="s">
        <v>211</v>
      </c>
      <c r="D254">
        <v>1</v>
      </c>
    </row>
    <row r="255" spans="2:4" x14ac:dyDescent="0.35">
      <c r="B255" s="6">
        <v>45884</v>
      </c>
      <c r="C255" s="9" t="s">
        <v>212</v>
      </c>
      <c r="D255">
        <v>1</v>
      </c>
    </row>
    <row r="256" spans="2:4" x14ac:dyDescent="0.35">
      <c r="B256" s="6">
        <v>45884</v>
      </c>
      <c r="C256" s="9" t="s">
        <v>181</v>
      </c>
      <c r="D256">
        <v>1</v>
      </c>
    </row>
    <row r="257" spans="2:4" x14ac:dyDescent="0.35">
      <c r="B257" s="6">
        <v>45884</v>
      </c>
      <c r="C257" s="9" t="s">
        <v>187</v>
      </c>
      <c r="D257">
        <v>1</v>
      </c>
    </row>
    <row r="258" spans="2:4" x14ac:dyDescent="0.35">
      <c r="B258" s="6">
        <v>45884</v>
      </c>
      <c r="C258" s="9" t="s">
        <v>168</v>
      </c>
      <c r="D258">
        <v>4</v>
      </c>
    </row>
    <row r="259" spans="2:4" x14ac:dyDescent="0.35">
      <c r="B259" s="6">
        <v>45884</v>
      </c>
      <c r="C259" s="9" t="s">
        <v>169</v>
      </c>
      <c r="D259">
        <v>2</v>
      </c>
    </row>
    <row r="260" spans="2:4" x14ac:dyDescent="0.35">
      <c r="B260" s="6">
        <v>45884</v>
      </c>
      <c r="C260" s="9" t="s">
        <v>188</v>
      </c>
      <c r="D260">
        <v>1</v>
      </c>
    </row>
    <row r="261" spans="2:4" x14ac:dyDescent="0.35">
      <c r="B261" s="6">
        <v>45884</v>
      </c>
      <c r="C261" s="9" t="s">
        <v>184</v>
      </c>
      <c r="D261">
        <v>2</v>
      </c>
    </row>
    <row r="262" spans="2:4" x14ac:dyDescent="0.35">
      <c r="B262" s="6">
        <v>45884</v>
      </c>
      <c r="C262" s="9" t="s">
        <v>204</v>
      </c>
      <c r="D262">
        <v>1</v>
      </c>
    </row>
    <row r="263" spans="2:4" x14ac:dyDescent="0.35">
      <c r="B263" s="6">
        <v>45884</v>
      </c>
      <c r="C263" s="9" t="s">
        <v>187</v>
      </c>
      <c r="D263">
        <v>1</v>
      </c>
    </row>
    <row r="264" spans="2:4" x14ac:dyDescent="0.35">
      <c r="B264" s="6">
        <v>45884</v>
      </c>
      <c r="C264" s="9" t="s">
        <v>210</v>
      </c>
      <c r="D264">
        <v>2</v>
      </c>
    </row>
    <row r="265" spans="2:4" x14ac:dyDescent="0.35">
      <c r="B265" s="6">
        <v>45884</v>
      </c>
      <c r="C265" s="2" t="s">
        <v>93</v>
      </c>
      <c r="D265">
        <v>2</v>
      </c>
    </row>
    <row r="266" spans="2:4" x14ac:dyDescent="0.35">
      <c r="B266" s="6">
        <v>45884</v>
      </c>
      <c r="C266" s="2" t="s">
        <v>87</v>
      </c>
      <c r="D266">
        <v>2</v>
      </c>
    </row>
    <row r="267" spans="2:4" x14ac:dyDescent="0.35">
      <c r="B267" s="6">
        <v>45884</v>
      </c>
      <c r="C267" s="2" t="s">
        <v>35</v>
      </c>
      <c r="D267">
        <v>3</v>
      </c>
    </row>
    <row r="268" spans="2:4" x14ac:dyDescent="0.35">
      <c r="B268" s="6">
        <v>45884</v>
      </c>
      <c r="C268" s="9" t="s">
        <v>176</v>
      </c>
      <c r="D268">
        <v>1</v>
      </c>
    </row>
    <row r="269" spans="2:4" x14ac:dyDescent="0.35">
      <c r="B269" s="6">
        <v>45884</v>
      </c>
      <c r="C269" s="2" t="s">
        <v>89</v>
      </c>
      <c r="D269">
        <v>1</v>
      </c>
    </row>
    <row r="270" spans="2:4" x14ac:dyDescent="0.35">
      <c r="B270" s="6">
        <v>45884</v>
      </c>
      <c r="C270" s="9" t="s">
        <v>199</v>
      </c>
      <c r="D270">
        <v>1</v>
      </c>
    </row>
    <row r="271" spans="2:4" x14ac:dyDescent="0.35">
      <c r="B271" s="6">
        <v>45884</v>
      </c>
      <c r="C271" s="9" t="s">
        <v>194</v>
      </c>
      <c r="D271">
        <v>1</v>
      </c>
    </row>
    <row r="272" spans="2:4" x14ac:dyDescent="0.35">
      <c r="B272" s="6">
        <v>45884</v>
      </c>
      <c r="C272" s="9" t="s">
        <v>177</v>
      </c>
      <c r="D272">
        <v>1</v>
      </c>
    </row>
    <row r="273" spans="2:4" x14ac:dyDescent="0.35">
      <c r="B273" s="6">
        <v>45884</v>
      </c>
      <c r="C273" s="9" t="s">
        <v>209</v>
      </c>
      <c r="D273">
        <v>1</v>
      </c>
    </row>
    <row r="274" spans="2:4" x14ac:dyDescent="0.35">
      <c r="B274" s="6">
        <v>45884</v>
      </c>
      <c r="C274" s="9" t="s">
        <v>206</v>
      </c>
      <c r="D274">
        <v>2</v>
      </c>
    </row>
    <row r="275" spans="2:4" x14ac:dyDescent="0.35">
      <c r="B275" s="6">
        <v>45884</v>
      </c>
      <c r="C275" s="9" t="s">
        <v>215</v>
      </c>
      <c r="D275">
        <v>1</v>
      </c>
    </row>
    <row r="276" spans="2:4" x14ac:dyDescent="0.35">
      <c r="B276" s="6">
        <v>45884</v>
      </c>
      <c r="C276" s="9" t="s">
        <v>173</v>
      </c>
      <c r="D276">
        <v>2</v>
      </c>
    </row>
    <row r="277" spans="2:4" x14ac:dyDescent="0.35">
      <c r="B277" s="6">
        <v>45884</v>
      </c>
      <c r="C277" s="9" t="s">
        <v>130</v>
      </c>
      <c r="D277">
        <v>1</v>
      </c>
    </row>
    <row r="278" spans="2:4" x14ac:dyDescent="0.35">
      <c r="B278" s="6">
        <v>45884</v>
      </c>
      <c r="C278" s="9" t="s">
        <v>171</v>
      </c>
      <c r="D278">
        <v>1</v>
      </c>
    </row>
    <row r="279" spans="2:4" x14ac:dyDescent="0.35">
      <c r="B279" s="6">
        <v>45884</v>
      </c>
      <c r="C279" s="2" t="s">
        <v>15</v>
      </c>
      <c r="D279">
        <v>1</v>
      </c>
    </row>
    <row r="280" spans="2:4" x14ac:dyDescent="0.35">
      <c r="B280" s="6">
        <v>45885</v>
      </c>
      <c r="C280" s="9" t="s">
        <v>149</v>
      </c>
      <c r="D280">
        <v>1</v>
      </c>
    </row>
    <row r="281" spans="2:4" x14ac:dyDescent="0.35">
      <c r="B281" s="6">
        <v>45885</v>
      </c>
      <c r="C281" s="9" t="s">
        <v>129</v>
      </c>
      <c r="D281">
        <v>5</v>
      </c>
    </row>
    <row r="282" spans="2:4" x14ac:dyDescent="0.35">
      <c r="B282" s="6">
        <v>45885</v>
      </c>
      <c r="C282" s="9" t="s">
        <v>193</v>
      </c>
      <c r="D282">
        <v>1</v>
      </c>
    </row>
    <row r="283" spans="2:4" x14ac:dyDescent="0.35">
      <c r="B283" s="6">
        <v>45885</v>
      </c>
      <c r="C283" s="1" t="s">
        <v>10</v>
      </c>
      <c r="D283">
        <v>2</v>
      </c>
    </row>
    <row r="284" spans="2:4" x14ac:dyDescent="0.35">
      <c r="B284" s="6">
        <v>45885</v>
      </c>
      <c r="C284" s="9" t="s">
        <v>166</v>
      </c>
      <c r="D284">
        <v>4</v>
      </c>
    </row>
    <row r="285" spans="2:4" x14ac:dyDescent="0.35">
      <c r="B285" s="6">
        <v>45885</v>
      </c>
      <c r="C285" s="9" t="s">
        <v>214</v>
      </c>
      <c r="D285">
        <v>1</v>
      </c>
    </row>
    <row r="286" spans="2:4" x14ac:dyDescent="0.35">
      <c r="B286" s="6">
        <v>45885</v>
      </c>
      <c r="C286" s="9" t="s">
        <v>207</v>
      </c>
      <c r="D286">
        <v>1</v>
      </c>
    </row>
    <row r="287" spans="2:4" x14ac:dyDescent="0.35">
      <c r="B287" s="6">
        <v>45885</v>
      </c>
      <c r="C287" s="2" t="s">
        <v>52</v>
      </c>
      <c r="D287">
        <v>2</v>
      </c>
    </row>
    <row r="288" spans="2:4" x14ac:dyDescent="0.35">
      <c r="B288" s="6">
        <v>45885</v>
      </c>
      <c r="C288" s="2" t="s">
        <v>50</v>
      </c>
      <c r="D288">
        <v>2</v>
      </c>
    </row>
    <row r="289" spans="2:4" x14ac:dyDescent="0.35">
      <c r="B289" s="6">
        <v>45885</v>
      </c>
      <c r="C289" s="11" t="s">
        <v>217</v>
      </c>
      <c r="D289">
        <v>3</v>
      </c>
    </row>
    <row r="290" spans="2:4" x14ac:dyDescent="0.35">
      <c r="B290" s="6">
        <v>45885</v>
      </c>
      <c r="C290" s="9" t="s">
        <v>131</v>
      </c>
      <c r="D290">
        <v>3</v>
      </c>
    </row>
    <row r="291" spans="2:4" x14ac:dyDescent="0.35">
      <c r="B291" s="6">
        <v>45885</v>
      </c>
      <c r="C291" s="9" t="s">
        <v>208</v>
      </c>
      <c r="D291">
        <v>1</v>
      </c>
    </row>
    <row r="292" spans="2:4" x14ac:dyDescent="0.35">
      <c r="B292" s="6">
        <v>45885</v>
      </c>
      <c r="C292" s="9" t="s">
        <v>213</v>
      </c>
      <c r="D292">
        <v>1</v>
      </c>
    </row>
    <row r="293" spans="2:4" x14ac:dyDescent="0.35">
      <c r="B293" s="6">
        <v>45885</v>
      </c>
      <c r="C293" s="2" t="s">
        <v>70</v>
      </c>
      <c r="D293">
        <v>10</v>
      </c>
    </row>
    <row r="294" spans="2:4" x14ac:dyDescent="0.35">
      <c r="B294" s="6">
        <v>45885</v>
      </c>
      <c r="C294" s="2" t="s">
        <v>75</v>
      </c>
      <c r="D294">
        <v>10</v>
      </c>
    </row>
    <row r="295" spans="2:4" x14ac:dyDescent="0.35">
      <c r="B295" s="6">
        <v>45885</v>
      </c>
      <c r="C295" s="9" t="s">
        <v>216</v>
      </c>
      <c r="D295">
        <v>3</v>
      </c>
    </row>
    <row r="296" spans="2:4" x14ac:dyDescent="0.35">
      <c r="B296" s="6">
        <v>45885</v>
      </c>
      <c r="C296" s="9" t="s">
        <v>148</v>
      </c>
      <c r="D296">
        <v>5</v>
      </c>
    </row>
    <row r="297" spans="2:4" x14ac:dyDescent="0.35">
      <c r="B297" s="6">
        <v>45885</v>
      </c>
      <c r="C297" s="9" t="s">
        <v>154</v>
      </c>
      <c r="D297">
        <v>5</v>
      </c>
    </row>
    <row r="298" spans="2:4" x14ac:dyDescent="0.35">
      <c r="B298" s="6">
        <v>45885</v>
      </c>
      <c r="C298" s="9" t="s">
        <v>196</v>
      </c>
      <c r="D298">
        <v>5</v>
      </c>
    </row>
    <row r="299" spans="2:4" x14ac:dyDescent="0.35">
      <c r="B299" s="6">
        <v>45885</v>
      </c>
      <c r="C299" s="9" t="s">
        <v>118</v>
      </c>
      <c r="D299">
        <v>2</v>
      </c>
    </row>
    <row r="300" spans="2:4" x14ac:dyDescent="0.35">
      <c r="B300" s="6">
        <v>45885</v>
      </c>
      <c r="C300" s="9" t="s">
        <v>155</v>
      </c>
      <c r="D300">
        <v>1</v>
      </c>
    </row>
    <row r="301" spans="2:4" x14ac:dyDescent="0.35">
      <c r="B301" s="6">
        <v>45885</v>
      </c>
      <c r="C301" s="9" t="s">
        <v>153</v>
      </c>
      <c r="D301">
        <v>1</v>
      </c>
    </row>
    <row r="302" spans="2:4" x14ac:dyDescent="0.35">
      <c r="B302" s="6">
        <v>45885</v>
      </c>
      <c r="C302" s="9" t="s">
        <v>200</v>
      </c>
      <c r="D302">
        <v>1</v>
      </c>
    </row>
    <row r="303" spans="2:4" x14ac:dyDescent="0.35">
      <c r="B303" s="6">
        <v>45885</v>
      </c>
      <c r="C303" s="9" t="s">
        <v>119</v>
      </c>
      <c r="D303">
        <v>2</v>
      </c>
    </row>
    <row r="304" spans="2:4" x14ac:dyDescent="0.35">
      <c r="B304" s="6">
        <v>45885</v>
      </c>
      <c r="C304" s="9" t="s">
        <v>195</v>
      </c>
      <c r="D304">
        <v>4</v>
      </c>
    </row>
    <row r="305" spans="2:4" x14ac:dyDescent="0.35">
      <c r="B305" s="6">
        <v>45885</v>
      </c>
      <c r="C305" s="9" t="s">
        <v>165</v>
      </c>
      <c r="D305">
        <v>5</v>
      </c>
    </row>
    <row r="306" spans="2:4" x14ac:dyDescent="0.35">
      <c r="B306" s="6">
        <v>45885</v>
      </c>
      <c r="C306" s="9" t="s">
        <v>125</v>
      </c>
      <c r="D306">
        <v>3</v>
      </c>
    </row>
    <row r="307" spans="2:4" x14ac:dyDescent="0.35">
      <c r="B307" s="6">
        <v>45885</v>
      </c>
      <c r="C307" s="2" t="s">
        <v>84</v>
      </c>
      <c r="D307">
        <v>2</v>
      </c>
    </row>
    <row r="308" spans="2:4" x14ac:dyDescent="0.35">
      <c r="B308" s="6">
        <v>45885</v>
      </c>
      <c r="C308" s="2" t="s">
        <v>43</v>
      </c>
      <c r="D308">
        <v>2</v>
      </c>
    </row>
    <row r="309" spans="2:4" x14ac:dyDescent="0.35">
      <c r="B309" s="6">
        <v>45885</v>
      </c>
      <c r="C309" s="2" t="s">
        <v>44</v>
      </c>
      <c r="D309">
        <v>2</v>
      </c>
    </row>
    <row r="310" spans="2:4" x14ac:dyDescent="0.35">
      <c r="B310" s="6">
        <v>45887</v>
      </c>
      <c r="C310" s="1" t="s">
        <v>7</v>
      </c>
      <c r="D310">
        <v>1</v>
      </c>
    </row>
    <row r="311" spans="2:4" x14ac:dyDescent="0.35">
      <c r="B311" s="6">
        <v>45887</v>
      </c>
      <c r="C311" s="2" t="s">
        <v>53</v>
      </c>
      <c r="D311">
        <v>2</v>
      </c>
    </row>
    <row r="312" spans="2:4" x14ac:dyDescent="0.35">
      <c r="B312" s="6">
        <v>45887</v>
      </c>
      <c r="C312" s="2" t="s">
        <v>65</v>
      </c>
      <c r="D312">
        <v>3</v>
      </c>
    </row>
    <row r="313" spans="2:4" x14ac:dyDescent="0.35">
      <c r="B313" s="6">
        <v>45887</v>
      </c>
      <c r="C313" s="2" t="s">
        <v>69</v>
      </c>
      <c r="D313">
        <v>3</v>
      </c>
    </row>
    <row r="314" spans="2:4" x14ac:dyDescent="0.35">
      <c r="B314" s="6">
        <v>45887</v>
      </c>
      <c r="C314" s="2" t="s">
        <v>14</v>
      </c>
      <c r="D314">
        <v>1</v>
      </c>
    </row>
    <row r="315" spans="2:4" x14ac:dyDescent="0.35">
      <c r="B315" s="6">
        <v>45887</v>
      </c>
      <c r="C315" s="2" t="s">
        <v>62</v>
      </c>
      <c r="D315">
        <v>1</v>
      </c>
    </row>
    <row r="316" spans="2:4" x14ac:dyDescent="0.35">
      <c r="B316" s="6">
        <v>45887</v>
      </c>
      <c r="C316" s="2" t="s">
        <v>61</v>
      </c>
      <c r="D316">
        <v>2</v>
      </c>
    </row>
    <row r="317" spans="2:4" x14ac:dyDescent="0.35">
      <c r="B317" s="6">
        <v>45887</v>
      </c>
      <c r="C317" s="9" t="s">
        <v>207</v>
      </c>
      <c r="D317">
        <v>1</v>
      </c>
    </row>
    <row r="318" spans="2:4" x14ac:dyDescent="0.35">
      <c r="B318" s="6">
        <v>45887</v>
      </c>
      <c r="C318" s="9" t="s">
        <v>172</v>
      </c>
      <c r="D318">
        <v>5</v>
      </c>
    </row>
    <row r="319" spans="2:4" x14ac:dyDescent="0.35">
      <c r="B319" s="6">
        <v>45887</v>
      </c>
      <c r="C319" s="9" t="s">
        <v>135</v>
      </c>
      <c r="D319">
        <v>1</v>
      </c>
    </row>
    <row r="320" spans="2:4" x14ac:dyDescent="0.35">
      <c r="B320" s="6">
        <v>45887</v>
      </c>
      <c r="C320" s="2" t="s">
        <v>56</v>
      </c>
      <c r="D320">
        <v>1</v>
      </c>
    </row>
    <row r="321" spans="2:4" x14ac:dyDescent="0.35">
      <c r="B321" s="6">
        <v>45887</v>
      </c>
      <c r="C321" s="2" t="s">
        <v>60</v>
      </c>
      <c r="D321">
        <v>1</v>
      </c>
    </row>
    <row r="322" spans="2:4" x14ac:dyDescent="0.35">
      <c r="B322" s="6">
        <v>45887</v>
      </c>
      <c r="C322" s="9" t="s">
        <v>176</v>
      </c>
      <c r="D322">
        <v>1</v>
      </c>
    </row>
    <row r="323" spans="2:4" x14ac:dyDescent="0.35">
      <c r="B323" s="6">
        <v>45887</v>
      </c>
      <c r="C323" s="2" t="s">
        <v>78</v>
      </c>
      <c r="D323">
        <v>1</v>
      </c>
    </row>
    <row r="324" spans="2:4" x14ac:dyDescent="0.35">
      <c r="B324" s="6">
        <v>45887</v>
      </c>
      <c r="C324" s="2" t="s">
        <v>36</v>
      </c>
      <c r="D324">
        <v>3</v>
      </c>
    </row>
    <row r="325" spans="2:4" x14ac:dyDescent="0.35">
      <c r="B325" s="6">
        <v>45887</v>
      </c>
      <c r="C325" s="9" t="s">
        <v>199</v>
      </c>
      <c r="D325">
        <v>1</v>
      </c>
    </row>
    <row r="326" spans="2:4" x14ac:dyDescent="0.35">
      <c r="B326" s="6">
        <v>45888</v>
      </c>
      <c r="C326" s="2" t="s">
        <v>19</v>
      </c>
      <c r="D326">
        <v>1</v>
      </c>
    </row>
    <row r="327" spans="2:4" x14ac:dyDescent="0.35">
      <c r="B327" s="6">
        <v>45888</v>
      </c>
      <c r="C327" s="2" t="s">
        <v>30</v>
      </c>
      <c r="D327">
        <v>1</v>
      </c>
    </row>
    <row r="328" spans="2:4" x14ac:dyDescent="0.35">
      <c r="B328" s="6">
        <v>45888</v>
      </c>
      <c r="C328" s="2" t="s">
        <v>93</v>
      </c>
      <c r="D328">
        <v>1</v>
      </c>
    </row>
    <row r="329" spans="2:4" x14ac:dyDescent="0.35">
      <c r="B329" s="6">
        <v>45888</v>
      </c>
      <c r="C329" s="9" t="s">
        <v>167</v>
      </c>
      <c r="D329">
        <v>4</v>
      </c>
    </row>
    <row r="330" spans="2:4" x14ac:dyDescent="0.35">
      <c r="B330" s="6">
        <v>45888</v>
      </c>
      <c r="C330" s="9" t="s">
        <v>161</v>
      </c>
      <c r="D330">
        <v>1</v>
      </c>
    </row>
    <row r="331" spans="2:4" x14ac:dyDescent="0.35">
      <c r="B331" s="6">
        <v>45888</v>
      </c>
      <c r="C331" s="9" t="s">
        <v>205</v>
      </c>
      <c r="D331">
        <v>1</v>
      </c>
    </row>
    <row r="332" spans="2:4" x14ac:dyDescent="0.35">
      <c r="B332" s="6">
        <v>45888</v>
      </c>
      <c r="C332" s="2" t="s">
        <v>25</v>
      </c>
      <c r="D332">
        <v>1</v>
      </c>
    </row>
    <row r="333" spans="2:4" x14ac:dyDescent="0.35">
      <c r="B333" s="6">
        <v>45888</v>
      </c>
      <c r="C333" s="2" t="s">
        <v>81</v>
      </c>
      <c r="D333">
        <v>1</v>
      </c>
    </row>
    <row r="334" spans="2:4" x14ac:dyDescent="0.35">
      <c r="B334" s="6">
        <v>45888</v>
      </c>
      <c r="C334" s="2" t="s">
        <v>65</v>
      </c>
      <c r="D334">
        <v>3</v>
      </c>
    </row>
    <row r="335" spans="2:4" x14ac:dyDescent="0.35">
      <c r="B335" s="6">
        <v>45888</v>
      </c>
      <c r="C335" s="9" t="s">
        <v>163</v>
      </c>
      <c r="D335">
        <v>1</v>
      </c>
    </row>
    <row r="336" spans="2:4" x14ac:dyDescent="0.35">
      <c r="B336" s="6">
        <v>45888</v>
      </c>
      <c r="C336" s="2" t="s">
        <v>73</v>
      </c>
      <c r="D336">
        <v>4</v>
      </c>
    </row>
    <row r="337" spans="2:4" x14ac:dyDescent="0.35">
      <c r="B337" s="6">
        <v>45888</v>
      </c>
      <c r="C337" s="11" t="s">
        <v>217</v>
      </c>
      <c r="D337">
        <v>2</v>
      </c>
    </row>
    <row r="338" spans="2:4" x14ac:dyDescent="0.35">
      <c r="B338" s="6">
        <v>45888</v>
      </c>
      <c r="C338" s="2" t="s">
        <v>67</v>
      </c>
      <c r="D338">
        <v>3</v>
      </c>
    </row>
    <row r="339" spans="2:4" x14ac:dyDescent="0.35">
      <c r="B339" s="6">
        <v>45888</v>
      </c>
      <c r="C339" s="11" t="s">
        <v>217</v>
      </c>
      <c r="D339">
        <v>2</v>
      </c>
    </row>
    <row r="340" spans="2:4" x14ac:dyDescent="0.35">
      <c r="B340" s="6">
        <v>45888</v>
      </c>
      <c r="C340" s="9" t="s">
        <v>161</v>
      </c>
      <c r="D340">
        <v>1</v>
      </c>
    </row>
    <row r="341" spans="2:4" x14ac:dyDescent="0.35">
      <c r="B341" s="6">
        <v>45888</v>
      </c>
      <c r="C341" s="9" t="s">
        <v>124</v>
      </c>
      <c r="D341">
        <v>3</v>
      </c>
    </row>
    <row r="342" spans="2:4" x14ac:dyDescent="0.35">
      <c r="B342" s="6">
        <v>45888</v>
      </c>
      <c r="C342" s="9" t="s">
        <v>123</v>
      </c>
      <c r="D342">
        <v>3</v>
      </c>
    </row>
    <row r="343" spans="2:4" x14ac:dyDescent="0.35">
      <c r="B343" s="6">
        <v>45888</v>
      </c>
      <c r="C343" s="9" t="s">
        <v>151</v>
      </c>
      <c r="D343">
        <v>1</v>
      </c>
    </row>
    <row r="344" spans="2:4" x14ac:dyDescent="0.35">
      <c r="B344" s="6">
        <v>45888</v>
      </c>
      <c r="C344" s="2" t="s">
        <v>73</v>
      </c>
      <c r="D344">
        <v>1</v>
      </c>
    </row>
    <row r="345" spans="2:4" x14ac:dyDescent="0.35">
      <c r="B345" s="6">
        <v>45888</v>
      </c>
      <c r="C345" s="9" t="s">
        <v>216</v>
      </c>
      <c r="D345">
        <v>2</v>
      </c>
    </row>
    <row r="346" spans="2:4" x14ac:dyDescent="0.35">
      <c r="B346" s="6">
        <v>45888</v>
      </c>
      <c r="C346" s="2" t="s">
        <v>75</v>
      </c>
      <c r="D346">
        <v>5</v>
      </c>
    </row>
    <row r="347" spans="2:4" x14ac:dyDescent="0.35">
      <c r="B347" s="6">
        <v>45889</v>
      </c>
      <c r="C347" s="9" t="s">
        <v>218</v>
      </c>
      <c r="D347">
        <v>2</v>
      </c>
    </row>
    <row r="348" spans="2:4" x14ac:dyDescent="0.35">
      <c r="B348" s="6">
        <v>45889</v>
      </c>
      <c r="C348" s="2" t="s">
        <v>77</v>
      </c>
      <c r="D348">
        <v>3</v>
      </c>
    </row>
    <row r="349" spans="2:4" x14ac:dyDescent="0.35">
      <c r="B349" s="6">
        <v>45889</v>
      </c>
      <c r="C349" s="2" t="s">
        <v>34</v>
      </c>
      <c r="D349">
        <v>2</v>
      </c>
    </row>
    <row r="350" spans="2:4" x14ac:dyDescent="0.35">
      <c r="B350" s="6">
        <v>45889</v>
      </c>
      <c r="C350" s="2" t="s">
        <v>33</v>
      </c>
      <c r="D350">
        <v>2</v>
      </c>
    </row>
    <row r="351" spans="2:4" x14ac:dyDescent="0.35">
      <c r="B351" s="6">
        <v>45889</v>
      </c>
      <c r="C351" s="2" t="s">
        <v>79</v>
      </c>
      <c r="D351">
        <v>2</v>
      </c>
    </row>
    <row r="352" spans="2:4" x14ac:dyDescent="0.35">
      <c r="B352" s="6">
        <v>45889</v>
      </c>
      <c r="C352" s="9" t="s">
        <v>143</v>
      </c>
      <c r="D352">
        <v>1</v>
      </c>
    </row>
    <row r="353" spans="2:4" x14ac:dyDescent="0.35">
      <c r="B353" s="6">
        <v>45889</v>
      </c>
      <c r="C353" s="9" t="s">
        <v>188</v>
      </c>
      <c r="D353">
        <v>1</v>
      </c>
    </row>
    <row r="354" spans="2:4" x14ac:dyDescent="0.35">
      <c r="B354" s="6">
        <v>45889</v>
      </c>
      <c r="C354" s="9" t="s">
        <v>185</v>
      </c>
      <c r="D354">
        <v>1</v>
      </c>
    </row>
    <row r="355" spans="2:4" x14ac:dyDescent="0.35">
      <c r="B355" s="6">
        <v>45889</v>
      </c>
      <c r="C355" s="2" t="s">
        <v>68</v>
      </c>
      <c r="D355">
        <v>4</v>
      </c>
    </row>
    <row r="356" spans="2:4" x14ac:dyDescent="0.35">
      <c r="B356" s="6">
        <v>45889</v>
      </c>
      <c r="C356" s="2" t="s">
        <v>66</v>
      </c>
      <c r="D356">
        <v>3</v>
      </c>
    </row>
    <row r="357" spans="2:4" x14ac:dyDescent="0.35">
      <c r="B357" s="6">
        <v>45889</v>
      </c>
      <c r="C357" s="1" t="s">
        <v>8</v>
      </c>
      <c r="D357">
        <v>2</v>
      </c>
    </row>
    <row r="358" spans="2:4" x14ac:dyDescent="0.35">
      <c r="B358" s="6">
        <v>45889</v>
      </c>
      <c r="C358" s="9" t="s">
        <v>147</v>
      </c>
      <c r="D358">
        <v>1</v>
      </c>
    </row>
    <row r="359" spans="2:4" x14ac:dyDescent="0.35">
      <c r="B359" s="6">
        <v>45889</v>
      </c>
      <c r="C359" s="2" t="s">
        <v>26</v>
      </c>
      <c r="D359">
        <v>3</v>
      </c>
    </row>
    <row r="360" spans="2:4" x14ac:dyDescent="0.35">
      <c r="B360" s="6">
        <v>45889</v>
      </c>
      <c r="C360" s="2" t="s">
        <v>60</v>
      </c>
      <c r="D360">
        <v>3</v>
      </c>
    </row>
    <row r="361" spans="2:4" x14ac:dyDescent="0.35">
      <c r="B361" s="6">
        <v>45889</v>
      </c>
      <c r="C361" s="2" t="s">
        <v>55</v>
      </c>
      <c r="D361">
        <v>3</v>
      </c>
    </row>
    <row r="362" spans="2:4" x14ac:dyDescent="0.35">
      <c r="B362" s="6">
        <v>45889</v>
      </c>
      <c r="C362" s="2" t="s">
        <v>56</v>
      </c>
      <c r="D362">
        <v>3</v>
      </c>
    </row>
    <row r="363" spans="2:4" x14ac:dyDescent="0.35">
      <c r="B363" s="6">
        <v>45889</v>
      </c>
      <c r="C363" s="9" t="s">
        <v>175</v>
      </c>
      <c r="D363">
        <v>2</v>
      </c>
    </row>
    <row r="364" spans="2:4" x14ac:dyDescent="0.35">
      <c r="B364" s="6">
        <v>45889</v>
      </c>
      <c r="C364" s="9" t="s">
        <v>131</v>
      </c>
      <c r="D364">
        <v>5</v>
      </c>
    </row>
    <row r="365" spans="2:4" x14ac:dyDescent="0.35">
      <c r="B365" s="6">
        <v>45889</v>
      </c>
      <c r="C365" s="9" t="s">
        <v>126</v>
      </c>
      <c r="D365">
        <v>1</v>
      </c>
    </row>
    <row r="366" spans="2:4" x14ac:dyDescent="0.35">
      <c r="B366" s="6">
        <v>45890</v>
      </c>
      <c r="C366" s="9" t="s">
        <v>178</v>
      </c>
      <c r="D366">
        <v>2</v>
      </c>
    </row>
    <row r="367" spans="2:4" x14ac:dyDescent="0.35">
      <c r="B367" s="6">
        <v>45890</v>
      </c>
      <c r="C367" s="9" t="s">
        <v>142</v>
      </c>
      <c r="D367">
        <v>2</v>
      </c>
    </row>
    <row r="368" spans="2:4" x14ac:dyDescent="0.35">
      <c r="B368" s="6">
        <v>45890</v>
      </c>
      <c r="C368" s="9" t="s">
        <v>144</v>
      </c>
      <c r="D368">
        <v>2</v>
      </c>
    </row>
    <row r="369" spans="2:4" x14ac:dyDescent="0.35">
      <c r="B369" s="6">
        <v>45890</v>
      </c>
      <c r="C369" s="2" t="s">
        <v>31</v>
      </c>
      <c r="D369">
        <v>1</v>
      </c>
    </row>
    <row r="370" spans="2:4" x14ac:dyDescent="0.35">
      <c r="B370" s="6">
        <v>45890</v>
      </c>
      <c r="C370" s="2" t="s">
        <v>21</v>
      </c>
      <c r="D370">
        <v>1</v>
      </c>
    </row>
    <row r="371" spans="2:4" x14ac:dyDescent="0.35">
      <c r="B371" s="6">
        <v>45890</v>
      </c>
      <c r="C371" s="2" t="s">
        <v>22</v>
      </c>
      <c r="D371">
        <v>1</v>
      </c>
    </row>
    <row r="372" spans="2:4" x14ac:dyDescent="0.35">
      <c r="B372" s="6">
        <v>45890</v>
      </c>
      <c r="C372" s="2" t="s">
        <v>106</v>
      </c>
      <c r="D372">
        <v>1</v>
      </c>
    </row>
    <row r="373" spans="2:4" x14ac:dyDescent="0.35">
      <c r="B373" s="6">
        <v>45890</v>
      </c>
      <c r="C373" s="2" t="s">
        <v>46</v>
      </c>
      <c r="D373">
        <v>2</v>
      </c>
    </row>
    <row r="374" spans="2:4" x14ac:dyDescent="0.35">
      <c r="B374" s="6">
        <v>45890</v>
      </c>
      <c r="C374" s="2" t="s">
        <v>74</v>
      </c>
      <c r="D374">
        <v>10</v>
      </c>
    </row>
    <row r="375" spans="2:4" x14ac:dyDescent="0.35">
      <c r="B375" s="6">
        <v>45890</v>
      </c>
      <c r="C375" s="2" t="s">
        <v>71</v>
      </c>
      <c r="D375">
        <v>10</v>
      </c>
    </row>
    <row r="376" spans="2:4" x14ac:dyDescent="0.35">
      <c r="B376" s="6">
        <v>45890</v>
      </c>
      <c r="C376" s="2" t="s">
        <v>72</v>
      </c>
      <c r="D376">
        <v>10</v>
      </c>
    </row>
    <row r="377" spans="2:4" x14ac:dyDescent="0.35">
      <c r="B377" s="6">
        <v>45890</v>
      </c>
      <c r="C377" s="2" t="s">
        <v>76</v>
      </c>
      <c r="D377">
        <v>10</v>
      </c>
    </row>
    <row r="378" spans="2:4" x14ac:dyDescent="0.35">
      <c r="B378" s="6">
        <v>45890</v>
      </c>
      <c r="C378" s="9" t="s">
        <v>145</v>
      </c>
      <c r="D378">
        <v>1</v>
      </c>
    </row>
    <row r="379" spans="2:4" x14ac:dyDescent="0.35">
      <c r="B379" s="6">
        <v>45890</v>
      </c>
      <c r="C379" s="9" t="s">
        <v>203</v>
      </c>
      <c r="D379">
        <v>3</v>
      </c>
    </row>
    <row r="380" spans="2:4" x14ac:dyDescent="0.35">
      <c r="B380" s="6">
        <v>45890</v>
      </c>
      <c r="C380" s="9" t="s">
        <v>141</v>
      </c>
      <c r="D380">
        <v>1</v>
      </c>
    </row>
    <row r="381" spans="2:4" x14ac:dyDescent="0.35">
      <c r="B381" s="6">
        <v>45890</v>
      </c>
      <c r="C381" s="9" t="s">
        <v>190</v>
      </c>
      <c r="D381">
        <v>4</v>
      </c>
    </row>
    <row r="382" spans="2:4" x14ac:dyDescent="0.35">
      <c r="B382" s="6">
        <v>45890</v>
      </c>
      <c r="C382" s="9" t="s">
        <v>179</v>
      </c>
      <c r="D382">
        <v>1</v>
      </c>
    </row>
    <row r="383" spans="2:4" x14ac:dyDescent="0.35">
      <c r="B383" s="6">
        <v>45890</v>
      </c>
      <c r="C383" s="9" t="s">
        <v>186</v>
      </c>
      <c r="D383">
        <v>2</v>
      </c>
    </row>
    <row r="384" spans="2:4" x14ac:dyDescent="0.35">
      <c r="B384" s="6">
        <v>45891</v>
      </c>
      <c r="C384" s="9" t="s">
        <v>182</v>
      </c>
      <c r="D384">
        <v>1</v>
      </c>
    </row>
    <row r="385" spans="2:4" x14ac:dyDescent="0.35">
      <c r="B385" s="6">
        <v>45891</v>
      </c>
      <c r="C385" s="9" t="s">
        <v>205</v>
      </c>
      <c r="D385">
        <v>4</v>
      </c>
    </row>
    <row r="386" spans="2:4" x14ac:dyDescent="0.35">
      <c r="B386" s="6">
        <v>45891</v>
      </c>
      <c r="C386" s="9" t="s">
        <v>210</v>
      </c>
      <c r="D386">
        <v>3</v>
      </c>
    </row>
    <row r="387" spans="2:4" x14ac:dyDescent="0.35">
      <c r="B387" s="6">
        <v>45891</v>
      </c>
      <c r="C387" s="2" t="s">
        <v>74</v>
      </c>
      <c r="D387">
        <v>10</v>
      </c>
    </row>
    <row r="388" spans="2:4" x14ac:dyDescent="0.35">
      <c r="B388" s="6">
        <v>45891</v>
      </c>
      <c r="C388" s="2" t="s">
        <v>71</v>
      </c>
      <c r="D388">
        <v>15</v>
      </c>
    </row>
    <row r="389" spans="2:4" x14ac:dyDescent="0.35">
      <c r="B389" s="6">
        <v>45891</v>
      </c>
      <c r="C389" s="2" t="s">
        <v>72</v>
      </c>
      <c r="D389">
        <v>17</v>
      </c>
    </row>
    <row r="390" spans="2:4" x14ac:dyDescent="0.35">
      <c r="B390" s="6">
        <v>45891</v>
      </c>
      <c r="C390" s="2" t="s">
        <v>76</v>
      </c>
      <c r="D390">
        <v>21</v>
      </c>
    </row>
    <row r="391" spans="2:4" x14ac:dyDescent="0.35">
      <c r="B391" s="6">
        <v>45891</v>
      </c>
      <c r="C391" s="9" t="s">
        <v>168</v>
      </c>
      <c r="D391">
        <v>5</v>
      </c>
    </row>
    <row r="392" spans="2:4" x14ac:dyDescent="0.35">
      <c r="B392" s="6">
        <v>45891</v>
      </c>
      <c r="C392" s="9" t="s">
        <v>169</v>
      </c>
      <c r="D392">
        <v>3</v>
      </c>
    </row>
    <row r="393" spans="2:4" x14ac:dyDescent="0.35">
      <c r="B393" s="6">
        <v>45891</v>
      </c>
      <c r="C393" s="9" t="s">
        <v>167</v>
      </c>
      <c r="D393">
        <v>2</v>
      </c>
    </row>
    <row r="394" spans="2:4" x14ac:dyDescent="0.35">
      <c r="B394" s="6">
        <v>45891</v>
      </c>
      <c r="C394" s="9" t="s">
        <v>164</v>
      </c>
      <c r="D394">
        <v>3</v>
      </c>
    </row>
    <row r="395" spans="2:4" x14ac:dyDescent="0.35">
      <c r="B395" s="6">
        <v>45891</v>
      </c>
      <c r="C395" s="9" t="s">
        <v>159</v>
      </c>
      <c r="D395">
        <v>1</v>
      </c>
    </row>
    <row r="396" spans="2:4" x14ac:dyDescent="0.35">
      <c r="B396" s="6">
        <v>45891</v>
      </c>
      <c r="C396" s="9" t="s">
        <v>161</v>
      </c>
      <c r="D396">
        <v>1</v>
      </c>
    </row>
    <row r="397" spans="2:4" x14ac:dyDescent="0.35">
      <c r="B397" s="6">
        <v>45891</v>
      </c>
      <c r="C397" s="11" t="s">
        <v>217</v>
      </c>
      <c r="D397">
        <v>2</v>
      </c>
    </row>
    <row r="398" spans="2:4" x14ac:dyDescent="0.35">
      <c r="B398" s="6">
        <v>45891</v>
      </c>
      <c r="C398" s="9" t="s">
        <v>163</v>
      </c>
      <c r="D398">
        <v>4</v>
      </c>
    </row>
    <row r="399" spans="2:4" x14ac:dyDescent="0.35">
      <c r="B399" s="6">
        <v>45891</v>
      </c>
      <c r="C399" s="9" t="s">
        <v>166</v>
      </c>
      <c r="D399">
        <v>2</v>
      </c>
    </row>
    <row r="400" spans="2:4" x14ac:dyDescent="0.35">
      <c r="B400" s="6">
        <v>45892</v>
      </c>
      <c r="C400" s="9" t="s">
        <v>120</v>
      </c>
      <c r="D400">
        <v>1</v>
      </c>
    </row>
    <row r="401" spans="2:4" x14ac:dyDescent="0.35">
      <c r="B401" s="6">
        <v>45892</v>
      </c>
      <c r="C401" s="9" t="s">
        <v>152</v>
      </c>
      <c r="D401">
        <v>2</v>
      </c>
    </row>
    <row r="402" spans="2:4" x14ac:dyDescent="0.35">
      <c r="B402" s="6">
        <v>45892</v>
      </c>
      <c r="C402" s="9" t="s">
        <v>197</v>
      </c>
      <c r="D402">
        <v>2</v>
      </c>
    </row>
    <row r="403" spans="2:4" x14ac:dyDescent="0.35">
      <c r="B403" s="6">
        <v>45892</v>
      </c>
      <c r="C403" s="9" t="s">
        <v>156</v>
      </c>
      <c r="D403">
        <v>3</v>
      </c>
    </row>
    <row r="404" spans="2:4" x14ac:dyDescent="0.35">
      <c r="B404" s="6">
        <v>45892</v>
      </c>
      <c r="C404" s="2" t="s">
        <v>70</v>
      </c>
      <c r="D404">
        <v>5</v>
      </c>
    </row>
    <row r="405" spans="2:4" x14ac:dyDescent="0.35">
      <c r="B405" s="6">
        <v>45892</v>
      </c>
      <c r="C405" s="2" t="s">
        <v>75</v>
      </c>
      <c r="D405">
        <v>4</v>
      </c>
    </row>
    <row r="406" spans="2:4" x14ac:dyDescent="0.35">
      <c r="B406" s="6">
        <v>45892</v>
      </c>
      <c r="C406" s="2" t="s">
        <v>43</v>
      </c>
      <c r="D406">
        <v>9</v>
      </c>
    </row>
    <row r="407" spans="2:4" x14ac:dyDescent="0.35">
      <c r="B407" s="6">
        <v>45892</v>
      </c>
      <c r="C407" s="2" t="s">
        <v>44</v>
      </c>
      <c r="D407">
        <v>5</v>
      </c>
    </row>
    <row r="408" spans="2:4" x14ac:dyDescent="0.35">
      <c r="B408" s="6">
        <v>45892</v>
      </c>
      <c r="C408" s="2" t="s">
        <v>42</v>
      </c>
      <c r="D408">
        <v>10</v>
      </c>
    </row>
    <row r="409" spans="2:4" x14ac:dyDescent="0.35">
      <c r="B409" s="6">
        <v>45892</v>
      </c>
      <c r="C409" s="2" t="s">
        <v>41</v>
      </c>
      <c r="D409">
        <v>5</v>
      </c>
    </row>
    <row r="410" spans="2:4" x14ac:dyDescent="0.35">
      <c r="B410" s="6">
        <v>45892</v>
      </c>
      <c r="C410" s="2" t="s">
        <v>86</v>
      </c>
      <c r="D410">
        <v>5</v>
      </c>
    </row>
    <row r="411" spans="2:4" x14ac:dyDescent="0.35">
      <c r="B411" s="6">
        <v>45892</v>
      </c>
      <c r="C411" s="2" t="s">
        <v>85</v>
      </c>
      <c r="D411">
        <v>3</v>
      </c>
    </row>
    <row r="412" spans="2:4" x14ac:dyDescent="0.35">
      <c r="B412" s="6">
        <v>45892</v>
      </c>
      <c r="C412" s="9" t="s">
        <v>216</v>
      </c>
      <c r="D412">
        <v>2</v>
      </c>
    </row>
    <row r="413" spans="2:4" x14ac:dyDescent="0.35">
      <c r="B413" s="6">
        <v>45892</v>
      </c>
      <c r="C413" s="2" t="s">
        <v>51</v>
      </c>
      <c r="D413">
        <v>3</v>
      </c>
    </row>
    <row r="414" spans="2:4" x14ac:dyDescent="0.35">
      <c r="B414" s="6">
        <v>45892</v>
      </c>
      <c r="C414" s="2" t="s">
        <v>80</v>
      </c>
      <c r="D414">
        <v>1</v>
      </c>
    </row>
    <row r="415" spans="2:4" x14ac:dyDescent="0.35">
      <c r="B415" s="6">
        <v>45892</v>
      </c>
      <c r="C415" s="1" t="s">
        <v>8</v>
      </c>
      <c r="D415">
        <v>2</v>
      </c>
    </row>
    <row r="416" spans="2:4" x14ac:dyDescent="0.35">
      <c r="B416" s="6">
        <v>45892</v>
      </c>
      <c r="C416" s="2" t="s">
        <v>59</v>
      </c>
      <c r="D416">
        <v>2</v>
      </c>
    </row>
    <row r="417" spans="2:4" x14ac:dyDescent="0.35">
      <c r="B417" s="6">
        <v>45892</v>
      </c>
      <c r="C417" s="9" t="s">
        <v>190</v>
      </c>
      <c r="D417">
        <v>4</v>
      </c>
    </row>
    <row r="418" spans="2:4" x14ac:dyDescent="0.35">
      <c r="B418" s="6">
        <v>45892</v>
      </c>
      <c r="C418" s="9" t="s">
        <v>179</v>
      </c>
      <c r="D418">
        <v>10</v>
      </c>
    </row>
    <row r="419" spans="2:4" x14ac:dyDescent="0.35">
      <c r="B419" s="6">
        <v>45892</v>
      </c>
      <c r="C419" s="9" t="s">
        <v>204</v>
      </c>
      <c r="D419">
        <v>3</v>
      </c>
    </row>
    <row r="420" spans="2:4" x14ac:dyDescent="0.35">
      <c r="B420" s="6">
        <v>45892</v>
      </c>
      <c r="C420" s="11" t="s">
        <v>217</v>
      </c>
      <c r="D420">
        <v>2</v>
      </c>
    </row>
    <row r="421" spans="2:4" x14ac:dyDescent="0.35">
      <c r="B421" s="6">
        <v>45894</v>
      </c>
      <c r="C421" s="9" t="s">
        <v>198</v>
      </c>
      <c r="D421">
        <v>1</v>
      </c>
    </row>
    <row r="422" spans="2:4" x14ac:dyDescent="0.35">
      <c r="B422" s="6">
        <v>45894</v>
      </c>
      <c r="C422" s="2" t="s">
        <v>27</v>
      </c>
      <c r="D422">
        <v>2</v>
      </c>
    </row>
    <row r="423" spans="2:4" x14ac:dyDescent="0.35">
      <c r="B423" s="6">
        <v>45894</v>
      </c>
      <c r="C423" s="2" t="s">
        <v>20</v>
      </c>
      <c r="D423">
        <v>2</v>
      </c>
    </row>
    <row r="424" spans="2:4" x14ac:dyDescent="0.35">
      <c r="B424" s="6">
        <v>45894</v>
      </c>
      <c r="C424" s="2" t="s">
        <v>82</v>
      </c>
      <c r="D424">
        <v>3</v>
      </c>
    </row>
    <row r="425" spans="2:4" x14ac:dyDescent="0.35">
      <c r="B425" s="6">
        <v>45894</v>
      </c>
      <c r="C425" s="2" t="s">
        <v>57</v>
      </c>
      <c r="D425">
        <v>2</v>
      </c>
    </row>
    <row r="426" spans="2:4" x14ac:dyDescent="0.35">
      <c r="B426" s="6">
        <v>45894</v>
      </c>
      <c r="C426" s="11" t="s">
        <v>217</v>
      </c>
      <c r="D426">
        <v>2</v>
      </c>
    </row>
    <row r="427" spans="2:4" x14ac:dyDescent="0.35">
      <c r="B427" s="6">
        <v>45894</v>
      </c>
      <c r="C427" s="9" t="s">
        <v>175</v>
      </c>
      <c r="D427">
        <v>1</v>
      </c>
    </row>
    <row r="428" spans="2:4" x14ac:dyDescent="0.35">
      <c r="B428" s="6">
        <v>45894</v>
      </c>
      <c r="C428" s="9" t="s">
        <v>199</v>
      </c>
      <c r="D428">
        <v>3</v>
      </c>
    </row>
    <row r="429" spans="2:4" x14ac:dyDescent="0.35">
      <c r="B429" s="6">
        <v>45894</v>
      </c>
      <c r="C429" s="9" t="s">
        <v>194</v>
      </c>
      <c r="D429">
        <v>3</v>
      </c>
    </row>
    <row r="430" spans="2:4" x14ac:dyDescent="0.35">
      <c r="B430" s="6">
        <v>45894</v>
      </c>
      <c r="C430" s="9" t="s">
        <v>177</v>
      </c>
      <c r="D430">
        <v>2</v>
      </c>
    </row>
    <row r="431" spans="2:4" x14ac:dyDescent="0.35">
      <c r="B431" s="6">
        <v>45894</v>
      </c>
      <c r="C431" s="9" t="s">
        <v>174</v>
      </c>
      <c r="D431">
        <v>2</v>
      </c>
    </row>
    <row r="432" spans="2:4" x14ac:dyDescent="0.35">
      <c r="B432" s="6">
        <v>45894</v>
      </c>
      <c r="C432" s="2" t="s">
        <v>12</v>
      </c>
      <c r="D432">
        <v>1</v>
      </c>
    </row>
    <row r="433" spans="2:4" x14ac:dyDescent="0.35">
      <c r="B433" s="6">
        <v>45894</v>
      </c>
      <c r="C433" s="1" t="s">
        <v>11</v>
      </c>
      <c r="D433">
        <v>1</v>
      </c>
    </row>
    <row r="434" spans="2:4" x14ac:dyDescent="0.35">
      <c r="B434" s="6">
        <v>45894</v>
      </c>
      <c r="C434" s="1" t="s">
        <v>9</v>
      </c>
      <c r="D434">
        <v>1</v>
      </c>
    </row>
    <row r="435" spans="2:4" x14ac:dyDescent="0.35">
      <c r="B435" s="6">
        <v>45895</v>
      </c>
      <c r="C435" s="2" t="s">
        <v>63</v>
      </c>
      <c r="D435">
        <v>2</v>
      </c>
    </row>
    <row r="436" spans="2:4" x14ac:dyDescent="0.35">
      <c r="B436" s="6">
        <v>45895</v>
      </c>
      <c r="C436" s="11" t="s">
        <v>217</v>
      </c>
      <c r="D436">
        <v>1</v>
      </c>
    </row>
    <row r="437" spans="2:4" x14ac:dyDescent="0.35">
      <c r="B437" s="6">
        <v>45895</v>
      </c>
      <c r="C437" s="2" t="s">
        <v>18</v>
      </c>
      <c r="D437">
        <v>1</v>
      </c>
    </row>
    <row r="438" spans="2:4" x14ac:dyDescent="0.35">
      <c r="B438" s="6">
        <v>45895</v>
      </c>
      <c r="C438" s="2" t="s">
        <v>35</v>
      </c>
      <c r="D438">
        <v>5</v>
      </c>
    </row>
    <row r="439" spans="2:4" x14ac:dyDescent="0.35">
      <c r="B439" s="6">
        <v>45895</v>
      </c>
      <c r="C439" s="2" t="s">
        <v>37</v>
      </c>
      <c r="D439">
        <v>5</v>
      </c>
    </row>
    <row r="440" spans="2:4" x14ac:dyDescent="0.35">
      <c r="B440" s="6">
        <v>45895</v>
      </c>
      <c r="C440" s="2" t="s">
        <v>36</v>
      </c>
      <c r="D440">
        <v>5</v>
      </c>
    </row>
    <row r="441" spans="2:4" x14ac:dyDescent="0.35">
      <c r="B441" s="6">
        <v>45895</v>
      </c>
      <c r="C441" s="2" t="s">
        <v>24</v>
      </c>
      <c r="D441">
        <v>2</v>
      </c>
    </row>
    <row r="442" spans="2:4" x14ac:dyDescent="0.35">
      <c r="B442" s="6">
        <v>45895</v>
      </c>
      <c r="C442" s="2" t="s">
        <v>17</v>
      </c>
      <c r="D442">
        <v>3</v>
      </c>
    </row>
    <row r="443" spans="2:4" x14ac:dyDescent="0.35">
      <c r="B443" s="6">
        <v>45895</v>
      </c>
      <c r="C443" s="2" t="s">
        <v>16</v>
      </c>
      <c r="D443">
        <v>2</v>
      </c>
    </row>
    <row r="444" spans="2:4" x14ac:dyDescent="0.35">
      <c r="B444" s="6">
        <v>45895</v>
      </c>
      <c r="C444" s="9" t="s">
        <v>136</v>
      </c>
      <c r="D444">
        <v>5</v>
      </c>
    </row>
    <row r="445" spans="2:4" x14ac:dyDescent="0.35">
      <c r="B445" s="6">
        <v>45895</v>
      </c>
      <c r="C445" s="2" t="s">
        <v>49</v>
      </c>
      <c r="D445">
        <v>2</v>
      </c>
    </row>
    <row r="446" spans="2:4" x14ac:dyDescent="0.35">
      <c r="B446" s="6">
        <v>45895</v>
      </c>
      <c r="C446" s="2" t="s">
        <v>47</v>
      </c>
      <c r="D446">
        <v>3</v>
      </c>
    </row>
    <row r="447" spans="2:4" x14ac:dyDescent="0.35">
      <c r="B447" s="6">
        <v>45895</v>
      </c>
      <c r="C447" s="2" t="s">
        <v>48</v>
      </c>
      <c r="D447">
        <v>1</v>
      </c>
    </row>
    <row r="448" spans="2:4" x14ac:dyDescent="0.35">
      <c r="B448" s="6">
        <v>45895</v>
      </c>
      <c r="C448" s="2" t="s">
        <v>45</v>
      </c>
      <c r="D448">
        <v>2</v>
      </c>
    </row>
    <row r="449" spans="2:4" x14ac:dyDescent="0.35">
      <c r="B449" s="6">
        <v>45895</v>
      </c>
      <c r="C449" s="9" t="s">
        <v>132</v>
      </c>
      <c r="D449">
        <v>2</v>
      </c>
    </row>
    <row r="450" spans="2:4" x14ac:dyDescent="0.35">
      <c r="B450" s="6">
        <v>45895</v>
      </c>
      <c r="C450" s="2" t="s">
        <v>113</v>
      </c>
      <c r="D450">
        <v>2</v>
      </c>
    </row>
    <row r="451" spans="2:4" x14ac:dyDescent="0.35">
      <c r="B451" s="6">
        <v>45895</v>
      </c>
      <c r="C451" s="2" t="s">
        <v>107</v>
      </c>
      <c r="D451">
        <v>1</v>
      </c>
    </row>
    <row r="452" spans="2:4" x14ac:dyDescent="0.35">
      <c r="B452" s="6">
        <v>45895</v>
      </c>
      <c r="C452" s="11" t="s">
        <v>217</v>
      </c>
      <c r="D452">
        <v>2</v>
      </c>
    </row>
    <row r="453" spans="2:4" x14ac:dyDescent="0.35">
      <c r="B453" s="6">
        <v>45896</v>
      </c>
      <c r="C453" s="2" t="s">
        <v>96</v>
      </c>
      <c r="D453">
        <v>5</v>
      </c>
    </row>
    <row r="454" spans="2:4" x14ac:dyDescent="0.35">
      <c r="B454" s="6">
        <v>45896</v>
      </c>
      <c r="C454" s="2" t="s">
        <v>111</v>
      </c>
      <c r="D454">
        <v>5</v>
      </c>
    </row>
    <row r="455" spans="2:4" x14ac:dyDescent="0.35">
      <c r="B455" s="6">
        <v>45896</v>
      </c>
      <c r="C455" s="2" t="s">
        <v>91</v>
      </c>
      <c r="D455">
        <v>5</v>
      </c>
    </row>
    <row r="456" spans="2:4" x14ac:dyDescent="0.35">
      <c r="B456" s="6">
        <v>45896</v>
      </c>
      <c r="C456" s="2" t="s">
        <v>109</v>
      </c>
      <c r="D456">
        <v>5</v>
      </c>
    </row>
    <row r="457" spans="2:4" x14ac:dyDescent="0.35">
      <c r="B457" s="6">
        <v>45896</v>
      </c>
      <c r="C457" s="2" t="s">
        <v>108</v>
      </c>
      <c r="D457">
        <v>5</v>
      </c>
    </row>
    <row r="458" spans="2:4" x14ac:dyDescent="0.35">
      <c r="B458" s="6">
        <v>45896</v>
      </c>
      <c r="C458" s="2" t="s">
        <v>64</v>
      </c>
      <c r="D458">
        <v>5</v>
      </c>
    </row>
    <row r="459" spans="2:4" x14ac:dyDescent="0.35">
      <c r="B459" s="6">
        <v>45896</v>
      </c>
      <c r="C459" s="2" t="s">
        <v>92</v>
      </c>
      <c r="D459">
        <v>5</v>
      </c>
    </row>
    <row r="460" spans="2:4" x14ac:dyDescent="0.35">
      <c r="B460" s="6">
        <v>45896</v>
      </c>
      <c r="C460" s="2" t="s">
        <v>98</v>
      </c>
      <c r="D460">
        <v>5</v>
      </c>
    </row>
    <row r="461" spans="2:4" x14ac:dyDescent="0.35">
      <c r="B461" s="6">
        <v>45896</v>
      </c>
      <c r="C461" s="2" t="s">
        <v>94</v>
      </c>
      <c r="D461">
        <v>5</v>
      </c>
    </row>
    <row r="462" spans="2:4" x14ac:dyDescent="0.35">
      <c r="B462" s="6">
        <v>45896</v>
      </c>
      <c r="C462" s="9" t="s">
        <v>216</v>
      </c>
      <c r="D462">
        <v>1</v>
      </c>
    </row>
    <row r="463" spans="2:4" x14ac:dyDescent="0.35">
      <c r="B463" s="6">
        <v>45896</v>
      </c>
      <c r="C463" s="1" t="s">
        <v>7</v>
      </c>
      <c r="D463">
        <v>2</v>
      </c>
    </row>
    <row r="464" spans="2:4" x14ac:dyDescent="0.35">
      <c r="B464" s="6">
        <v>45896</v>
      </c>
      <c r="C464" s="2" t="s">
        <v>67</v>
      </c>
      <c r="D464">
        <v>1</v>
      </c>
    </row>
    <row r="465" spans="2:4" x14ac:dyDescent="0.35">
      <c r="B465" s="6">
        <v>45896</v>
      </c>
      <c r="C465" s="2" t="s">
        <v>78</v>
      </c>
      <c r="D465">
        <v>1</v>
      </c>
    </row>
    <row r="466" spans="2:4" x14ac:dyDescent="0.35">
      <c r="B466" s="6">
        <v>45896</v>
      </c>
      <c r="C466" s="2" t="s">
        <v>82</v>
      </c>
      <c r="D466">
        <v>2</v>
      </c>
    </row>
    <row r="467" spans="2:4" x14ac:dyDescent="0.35">
      <c r="B467" s="6">
        <v>45896</v>
      </c>
      <c r="C467" s="9" t="s">
        <v>176</v>
      </c>
      <c r="D467">
        <v>1</v>
      </c>
    </row>
    <row r="468" spans="2:4" x14ac:dyDescent="0.35">
      <c r="B468" s="6">
        <v>45897</v>
      </c>
      <c r="C468" s="2" t="s">
        <v>61</v>
      </c>
      <c r="D468">
        <v>2</v>
      </c>
    </row>
    <row r="469" spans="2:4" x14ac:dyDescent="0.35">
      <c r="B469" s="6">
        <v>45897</v>
      </c>
      <c r="C469" s="2" t="s">
        <v>84</v>
      </c>
      <c r="D469">
        <v>2</v>
      </c>
    </row>
    <row r="470" spans="2:4" x14ac:dyDescent="0.35">
      <c r="B470" s="6">
        <v>45897</v>
      </c>
      <c r="C470" s="2" t="s">
        <v>70</v>
      </c>
      <c r="D470">
        <v>5</v>
      </c>
    </row>
    <row r="471" spans="2:4" x14ac:dyDescent="0.35">
      <c r="B471" s="6">
        <v>45897</v>
      </c>
      <c r="C471" s="2" t="s">
        <v>75</v>
      </c>
      <c r="D471">
        <v>6</v>
      </c>
    </row>
    <row r="472" spans="2:4" x14ac:dyDescent="0.35">
      <c r="B472" s="6">
        <v>45897</v>
      </c>
      <c r="C472" s="2" t="s">
        <v>73</v>
      </c>
      <c r="D472">
        <v>8</v>
      </c>
    </row>
    <row r="473" spans="2:4" x14ac:dyDescent="0.35">
      <c r="B473" s="6">
        <v>45897</v>
      </c>
      <c r="C473" t="s">
        <v>7</v>
      </c>
      <c r="D473">
        <v>10</v>
      </c>
    </row>
    <row r="474" spans="2:4" x14ac:dyDescent="0.35">
      <c r="B474" s="6">
        <v>45897</v>
      </c>
      <c r="C474" t="s">
        <v>112</v>
      </c>
      <c r="D474">
        <v>10</v>
      </c>
    </row>
    <row r="475" spans="2:4" x14ac:dyDescent="0.35">
      <c r="B475" s="6">
        <v>45897</v>
      </c>
      <c r="C475" t="s">
        <v>14</v>
      </c>
      <c r="D475">
        <v>2</v>
      </c>
    </row>
    <row r="476" spans="2:4" x14ac:dyDescent="0.35">
      <c r="B476" s="6">
        <v>45897</v>
      </c>
      <c r="C476" t="s">
        <v>70</v>
      </c>
      <c r="D476">
        <v>10</v>
      </c>
    </row>
    <row r="477" spans="2:4" x14ac:dyDescent="0.35">
      <c r="B477" s="6">
        <v>45897</v>
      </c>
      <c r="C477" t="s">
        <v>37</v>
      </c>
      <c r="D477">
        <v>10</v>
      </c>
    </row>
    <row r="478" spans="2:4" x14ac:dyDescent="0.35">
      <c r="B478" s="6">
        <v>45897</v>
      </c>
      <c r="C478" t="s">
        <v>35</v>
      </c>
      <c r="D478">
        <v>5</v>
      </c>
    </row>
    <row r="479" spans="2:4" x14ac:dyDescent="0.35">
      <c r="B479" s="6">
        <v>45897</v>
      </c>
      <c r="C479" t="s">
        <v>36</v>
      </c>
      <c r="D479">
        <v>5</v>
      </c>
    </row>
    <row r="480" spans="2:4" x14ac:dyDescent="0.35">
      <c r="B480" s="6">
        <v>45897</v>
      </c>
      <c r="C480" t="s">
        <v>72</v>
      </c>
      <c r="D480">
        <v>7</v>
      </c>
    </row>
    <row r="481" spans="2:4" x14ac:dyDescent="0.35">
      <c r="B481" s="6">
        <v>45897</v>
      </c>
      <c r="C481" t="s">
        <v>71</v>
      </c>
      <c r="D481">
        <v>5</v>
      </c>
    </row>
    <row r="482" spans="2:4" x14ac:dyDescent="0.35">
      <c r="B482" s="6">
        <v>45897</v>
      </c>
      <c r="C482" t="s">
        <v>216</v>
      </c>
      <c r="D482">
        <v>3</v>
      </c>
    </row>
    <row r="483" spans="2:4" x14ac:dyDescent="0.35">
      <c r="B483" s="6">
        <v>45897</v>
      </c>
      <c r="C483" t="s">
        <v>30</v>
      </c>
      <c r="D483">
        <v>2</v>
      </c>
    </row>
    <row r="484" spans="2:4" x14ac:dyDescent="0.35">
      <c r="B484" s="6">
        <v>45897</v>
      </c>
      <c r="C484" t="s">
        <v>28</v>
      </c>
      <c r="D484">
        <v>2</v>
      </c>
    </row>
    <row r="485" spans="2:4" x14ac:dyDescent="0.35">
      <c r="B485" s="6">
        <v>45898</v>
      </c>
      <c r="C485" t="s">
        <v>133</v>
      </c>
      <c r="D485">
        <v>4</v>
      </c>
    </row>
    <row r="486" spans="2:4" x14ac:dyDescent="0.35">
      <c r="B486" s="6">
        <v>45898</v>
      </c>
      <c r="C486" t="s">
        <v>171</v>
      </c>
      <c r="D486">
        <v>5</v>
      </c>
    </row>
    <row r="487" spans="2:4" x14ac:dyDescent="0.35">
      <c r="B487" s="6">
        <v>45898</v>
      </c>
      <c r="C487" t="s">
        <v>150</v>
      </c>
      <c r="D487">
        <v>3</v>
      </c>
    </row>
    <row r="488" spans="2:4" x14ac:dyDescent="0.35">
      <c r="B488" s="6">
        <v>45898</v>
      </c>
      <c r="C488" t="s">
        <v>35</v>
      </c>
      <c r="D488">
        <v>4</v>
      </c>
    </row>
    <row r="489" spans="2:4" x14ac:dyDescent="0.35">
      <c r="B489" s="6">
        <v>45898</v>
      </c>
      <c r="C489" t="s">
        <v>169</v>
      </c>
      <c r="D489">
        <v>3</v>
      </c>
    </row>
    <row r="490" spans="2:4" x14ac:dyDescent="0.35">
      <c r="B490" s="6">
        <v>45898</v>
      </c>
      <c r="C490" t="s">
        <v>57</v>
      </c>
      <c r="D490">
        <v>4</v>
      </c>
    </row>
    <row r="491" spans="2:4" x14ac:dyDescent="0.35">
      <c r="B491" s="6">
        <v>45898</v>
      </c>
      <c r="C491" t="s">
        <v>30</v>
      </c>
      <c r="D491">
        <v>3</v>
      </c>
    </row>
    <row r="492" spans="2:4" x14ac:dyDescent="0.35">
      <c r="B492" s="6">
        <v>45898</v>
      </c>
      <c r="C492" t="s">
        <v>192</v>
      </c>
      <c r="D492">
        <v>5</v>
      </c>
    </row>
    <row r="493" spans="2:4" x14ac:dyDescent="0.35">
      <c r="B493" s="6">
        <v>45898</v>
      </c>
      <c r="C493" t="s">
        <v>70</v>
      </c>
      <c r="D493">
        <v>1</v>
      </c>
    </row>
    <row r="494" spans="2:4" x14ac:dyDescent="0.35">
      <c r="B494" s="6">
        <v>45898</v>
      </c>
      <c r="C494" t="s">
        <v>140</v>
      </c>
      <c r="D494">
        <v>3</v>
      </c>
    </row>
    <row r="495" spans="2:4" x14ac:dyDescent="0.35">
      <c r="B495" s="6">
        <v>45898</v>
      </c>
      <c r="C495" t="s">
        <v>119</v>
      </c>
      <c r="D495">
        <v>2</v>
      </c>
    </row>
    <row r="496" spans="2:4" x14ac:dyDescent="0.35">
      <c r="B496" s="6">
        <v>45898</v>
      </c>
      <c r="C496" t="s">
        <v>125</v>
      </c>
      <c r="D496">
        <v>4</v>
      </c>
    </row>
    <row r="497" spans="2:4" x14ac:dyDescent="0.35">
      <c r="B497" s="6">
        <v>45898</v>
      </c>
      <c r="C497" t="s">
        <v>123</v>
      </c>
      <c r="D497">
        <v>5</v>
      </c>
    </row>
    <row r="498" spans="2:4" x14ac:dyDescent="0.35">
      <c r="B498" s="6">
        <v>45898</v>
      </c>
      <c r="C498" t="s">
        <v>137</v>
      </c>
      <c r="D498">
        <v>2</v>
      </c>
    </row>
    <row r="499" spans="2:4" x14ac:dyDescent="0.35">
      <c r="B499" s="6">
        <v>45898</v>
      </c>
      <c r="C499" t="s">
        <v>98</v>
      </c>
      <c r="D499">
        <v>13</v>
      </c>
    </row>
    <row r="500" spans="2:4" x14ac:dyDescent="0.35">
      <c r="B500" s="6">
        <v>45898</v>
      </c>
      <c r="C500" t="s">
        <v>73</v>
      </c>
      <c r="D500">
        <v>5</v>
      </c>
    </row>
    <row r="501" spans="2:4" x14ac:dyDescent="0.35">
      <c r="B501" s="6">
        <v>45899</v>
      </c>
      <c r="C501" t="s">
        <v>192</v>
      </c>
      <c r="D501">
        <v>4</v>
      </c>
    </row>
    <row r="502" spans="2:4" x14ac:dyDescent="0.35">
      <c r="B502" s="6">
        <v>45899</v>
      </c>
      <c r="C502" t="s">
        <v>199</v>
      </c>
      <c r="D502">
        <v>5</v>
      </c>
    </row>
    <row r="503" spans="2:4" x14ac:dyDescent="0.35">
      <c r="B503" s="6">
        <v>45899</v>
      </c>
      <c r="C503" t="s">
        <v>29</v>
      </c>
      <c r="D503">
        <v>2</v>
      </c>
    </row>
    <row r="504" spans="2:4" x14ac:dyDescent="0.35">
      <c r="B504" s="6">
        <v>45899</v>
      </c>
      <c r="C504" t="s">
        <v>195</v>
      </c>
      <c r="D504">
        <v>5</v>
      </c>
    </row>
    <row r="505" spans="2:4" x14ac:dyDescent="0.35">
      <c r="B505" s="6">
        <v>45899</v>
      </c>
      <c r="C505" t="s">
        <v>167</v>
      </c>
      <c r="D505">
        <v>4</v>
      </c>
    </row>
    <row r="506" spans="2:4" x14ac:dyDescent="0.35">
      <c r="B506" s="6">
        <v>45899</v>
      </c>
      <c r="C506" t="s">
        <v>163</v>
      </c>
      <c r="D506">
        <v>12</v>
      </c>
    </row>
    <row r="507" spans="2:4" x14ac:dyDescent="0.35">
      <c r="B507" s="6">
        <v>45899</v>
      </c>
      <c r="C507" t="s">
        <v>146</v>
      </c>
      <c r="D507">
        <v>4</v>
      </c>
    </row>
    <row r="508" spans="2:4" x14ac:dyDescent="0.35">
      <c r="B508" s="6">
        <v>45899</v>
      </c>
      <c r="C508" t="s">
        <v>217</v>
      </c>
      <c r="D508">
        <v>4</v>
      </c>
    </row>
    <row r="509" spans="2:4" x14ac:dyDescent="0.35">
      <c r="B509" s="6">
        <v>45899</v>
      </c>
      <c r="C509" t="s">
        <v>172</v>
      </c>
      <c r="D509">
        <v>4</v>
      </c>
    </row>
    <row r="510" spans="2:4" x14ac:dyDescent="0.35">
      <c r="B510" s="6">
        <v>45899</v>
      </c>
      <c r="C510" t="s">
        <v>193</v>
      </c>
      <c r="D510">
        <v>5</v>
      </c>
    </row>
    <row r="511" spans="2:4" x14ac:dyDescent="0.35">
      <c r="B511" s="6">
        <v>45899</v>
      </c>
      <c r="C511" t="s">
        <v>176</v>
      </c>
      <c r="D511">
        <v>6</v>
      </c>
    </row>
    <row r="512" spans="2:4" x14ac:dyDescent="0.35">
      <c r="B512" s="6">
        <v>45899</v>
      </c>
      <c r="C512" t="s">
        <v>168</v>
      </c>
      <c r="D512">
        <v>3</v>
      </c>
    </row>
    <row r="513" spans="2:4" x14ac:dyDescent="0.35">
      <c r="B513" s="6">
        <v>45899</v>
      </c>
      <c r="C513" t="s">
        <v>214</v>
      </c>
      <c r="D513">
        <v>6</v>
      </c>
    </row>
    <row r="514" spans="2:4" x14ac:dyDescent="0.35">
      <c r="B514" s="6">
        <v>45899</v>
      </c>
      <c r="C514" t="s">
        <v>164</v>
      </c>
      <c r="D514">
        <v>2</v>
      </c>
    </row>
    <row r="515" spans="2:4" x14ac:dyDescent="0.35">
      <c r="B515" s="6">
        <v>45899</v>
      </c>
      <c r="C515" t="s">
        <v>118</v>
      </c>
      <c r="D515">
        <v>4</v>
      </c>
    </row>
    <row r="516" spans="2:4" x14ac:dyDescent="0.35">
      <c r="B516" s="6">
        <v>45899</v>
      </c>
      <c r="C516" t="s">
        <v>203</v>
      </c>
      <c r="D516">
        <v>4</v>
      </c>
    </row>
    <row r="517" spans="2:4" x14ac:dyDescent="0.35">
      <c r="B517" s="6">
        <v>45899</v>
      </c>
      <c r="C517" t="s">
        <v>174</v>
      </c>
      <c r="D517">
        <v>3</v>
      </c>
    </row>
    <row r="518" spans="2:4" x14ac:dyDescent="0.35">
      <c r="B518" s="6">
        <v>45901</v>
      </c>
      <c r="C518" t="s">
        <v>48</v>
      </c>
      <c r="D518">
        <v>2</v>
      </c>
    </row>
    <row r="519" spans="2:4" x14ac:dyDescent="0.35">
      <c r="B519" s="6">
        <v>45901</v>
      </c>
      <c r="C519" t="s">
        <v>38</v>
      </c>
      <c r="D519">
        <v>4</v>
      </c>
    </row>
    <row r="520" spans="2:4" x14ac:dyDescent="0.35">
      <c r="B520" s="6">
        <v>45901</v>
      </c>
      <c r="C520" t="s">
        <v>128</v>
      </c>
      <c r="D520">
        <v>2</v>
      </c>
    </row>
    <row r="521" spans="2:4" x14ac:dyDescent="0.35">
      <c r="B521" s="6">
        <v>45901</v>
      </c>
      <c r="C521" t="s">
        <v>61</v>
      </c>
      <c r="D521">
        <v>4</v>
      </c>
    </row>
    <row r="522" spans="2:4" x14ac:dyDescent="0.35">
      <c r="B522" s="6">
        <v>45901</v>
      </c>
      <c r="C522" t="s">
        <v>214</v>
      </c>
      <c r="D522">
        <v>5</v>
      </c>
    </row>
    <row r="523" spans="2:4" x14ac:dyDescent="0.35">
      <c r="B523" s="6">
        <v>45901</v>
      </c>
      <c r="C523" t="s">
        <v>13</v>
      </c>
      <c r="D523">
        <v>1</v>
      </c>
    </row>
    <row r="524" spans="2:4" x14ac:dyDescent="0.35">
      <c r="B524" s="6">
        <v>45901</v>
      </c>
      <c r="C524" t="s">
        <v>206</v>
      </c>
      <c r="D524">
        <v>5</v>
      </c>
    </row>
    <row r="525" spans="2:4" x14ac:dyDescent="0.35">
      <c r="B525" s="6">
        <v>45901</v>
      </c>
      <c r="C525" t="s">
        <v>194</v>
      </c>
      <c r="D525">
        <v>2</v>
      </c>
    </row>
    <row r="526" spans="2:4" x14ac:dyDescent="0.35">
      <c r="B526" s="6">
        <v>45901</v>
      </c>
      <c r="C526" t="s">
        <v>178</v>
      </c>
      <c r="D526">
        <v>6</v>
      </c>
    </row>
    <row r="527" spans="2:4" x14ac:dyDescent="0.35">
      <c r="B527" s="6">
        <v>45901</v>
      </c>
      <c r="C527" t="s">
        <v>127</v>
      </c>
      <c r="D527">
        <v>3</v>
      </c>
    </row>
    <row r="528" spans="2:4" x14ac:dyDescent="0.35">
      <c r="B528" s="6">
        <v>45901</v>
      </c>
      <c r="C528" t="s">
        <v>170</v>
      </c>
      <c r="D528">
        <v>2</v>
      </c>
    </row>
    <row r="529" spans="2:4" x14ac:dyDescent="0.35">
      <c r="B529" s="6">
        <v>45901</v>
      </c>
      <c r="C529" t="s">
        <v>20</v>
      </c>
      <c r="D529">
        <v>2</v>
      </c>
    </row>
    <row r="530" spans="2:4" x14ac:dyDescent="0.35">
      <c r="B530" s="6">
        <v>45901</v>
      </c>
      <c r="C530" t="s">
        <v>37</v>
      </c>
      <c r="D530">
        <v>4</v>
      </c>
    </row>
    <row r="531" spans="2:4" x14ac:dyDescent="0.35">
      <c r="B531" s="6">
        <v>45901</v>
      </c>
      <c r="C531" t="s">
        <v>60</v>
      </c>
      <c r="D531">
        <v>2</v>
      </c>
    </row>
    <row r="532" spans="2:4" x14ac:dyDescent="0.35">
      <c r="B532" s="6">
        <v>45901</v>
      </c>
      <c r="C532" t="s">
        <v>69</v>
      </c>
      <c r="D532">
        <v>15</v>
      </c>
    </row>
    <row r="533" spans="2:4" x14ac:dyDescent="0.35">
      <c r="B533" s="6">
        <v>45901</v>
      </c>
      <c r="C533" t="s">
        <v>188</v>
      </c>
      <c r="D533">
        <v>4</v>
      </c>
    </row>
    <row r="534" spans="2:4" x14ac:dyDescent="0.35">
      <c r="B534" s="6">
        <v>45901</v>
      </c>
      <c r="C534" t="s">
        <v>184</v>
      </c>
      <c r="D534">
        <v>3</v>
      </c>
    </row>
    <row r="535" spans="2:4" x14ac:dyDescent="0.35">
      <c r="B535" s="6">
        <v>45901</v>
      </c>
      <c r="C535" t="s">
        <v>169</v>
      </c>
      <c r="D535">
        <v>5</v>
      </c>
    </row>
    <row r="536" spans="2:4" x14ac:dyDescent="0.35">
      <c r="B536" s="6">
        <v>45902</v>
      </c>
      <c r="C536" t="s">
        <v>125</v>
      </c>
      <c r="D536">
        <v>5</v>
      </c>
    </row>
    <row r="537" spans="2:4" x14ac:dyDescent="0.35">
      <c r="B537" s="6">
        <v>45902</v>
      </c>
      <c r="C537" t="s">
        <v>210</v>
      </c>
      <c r="D537">
        <v>5</v>
      </c>
    </row>
    <row r="538" spans="2:4" x14ac:dyDescent="0.35">
      <c r="B538" s="6">
        <v>45902</v>
      </c>
      <c r="C538" t="s">
        <v>143</v>
      </c>
      <c r="D538">
        <v>2</v>
      </c>
    </row>
    <row r="539" spans="2:4" x14ac:dyDescent="0.35">
      <c r="B539" s="6">
        <v>45902</v>
      </c>
      <c r="C539" t="s">
        <v>68</v>
      </c>
      <c r="D539">
        <v>2</v>
      </c>
    </row>
    <row r="540" spans="2:4" x14ac:dyDescent="0.35">
      <c r="B540" s="6">
        <v>45902</v>
      </c>
      <c r="C540" t="s">
        <v>185</v>
      </c>
      <c r="D540">
        <v>3</v>
      </c>
    </row>
    <row r="541" spans="2:4" x14ac:dyDescent="0.35">
      <c r="B541" s="6">
        <v>45902</v>
      </c>
      <c r="C541" t="s">
        <v>166</v>
      </c>
      <c r="D541">
        <v>5</v>
      </c>
    </row>
    <row r="542" spans="2:4" x14ac:dyDescent="0.35">
      <c r="B542" s="6">
        <v>45902</v>
      </c>
      <c r="C542" t="s">
        <v>160</v>
      </c>
      <c r="D542">
        <v>5</v>
      </c>
    </row>
    <row r="543" spans="2:4" x14ac:dyDescent="0.35">
      <c r="B543" s="6">
        <v>45902</v>
      </c>
      <c r="C543" t="s">
        <v>43</v>
      </c>
      <c r="D543">
        <v>4</v>
      </c>
    </row>
    <row r="544" spans="2:4" x14ac:dyDescent="0.35">
      <c r="B544" s="6">
        <v>45902</v>
      </c>
      <c r="C544" t="s">
        <v>75</v>
      </c>
      <c r="D544">
        <v>15</v>
      </c>
    </row>
    <row r="545" spans="2:4" x14ac:dyDescent="0.35">
      <c r="B545" s="6">
        <v>45902</v>
      </c>
      <c r="C545" t="s">
        <v>33</v>
      </c>
      <c r="D545">
        <v>10</v>
      </c>
    </row>
    <row r="546" spans="2:4" x14ac:dyDescent="0.35">
      <c r="B546" s="6">
        <v>45902</v>
      </c>
      <c r="C546" t="s">
        <v>70</v>
      </c>
      <c r="D546">
        <v>10</v>
      </c>
    </row>
    <row r="547" spans="2:4" x14ac:dyDescent="0.35">
      <c r="B547" s="6">
        <v>45902</v>
      </c>
      <c r="C547" t="s">
        <v>144</v>
      </c>
      <c r="D547">
        <v>4</v>
      </c>
    </row>
    <row r="548" spans="2:4" x14ac:dyDescent="0.35">
      <c r="B548" s="6">
        <v>45902</v>
      </c>
      <c r="C548" t="s">
        <v>47</v>
      </c>
      <c r="D548">
        <v>5</v>
      </c>
    </row>
    <row r="549" spans="2:4" x14ac:dyDescent="0.35">
      <c r="B549" s="6">
        <v>45902</v>
      </c>
      <c r="C549" t="s">
        <v>179</v>
      </c>
      <c r="D549">
        <v>2</v>
      </c>
    </row>
    <row r="550" spans="2:4" x14ac:dyDescent="0.35">
      <c r="B550" s="6">
        <v>45902</v>
      </c>
      <c r="C550" t="s">
        <v>97</v>
      </c>
      <c r="D550">
        <v>4</v>
      </c>
    </row>
    <row r="551" spans="2:4" x14ac:dyDescent="0.35">
      <c r="B551" s="6">
        <v>45902</v>
      </c>
      <c r="C551" t="s">
        <v>161</v>
      </c>
      <c r="D551">
        <v>1</v>
      </c>
    </row>
    <row r="552" spans="2:4" x14ac:dyDescent="0.35">
      <c r="B552" s="6">
        <v>45902</v>
      </c>
      <c r="C552" t="s">
        <v>10</v>
      </c>
      <c r="D552">
        <v>4</v>
      </c>
    </row>
    <row r="553" spans="2:4" x14ac:dyDescent="0.35">
      <c r="B553" s="6">
        <v>45902</v>
      </c>
      <c r="C553" t="s">
        <v>9</v>
      </c>
      <c r="D553">
        <v>1</v>
      </c>
    </row>
    <row r="554" spans="2:4" x14ac:dyDescent="0.35">
      <c r="B554" s="6">
        <v>45902</v>
      </c>
      <c r="C554" t="s">
        <v>165</v>
      </c>
      <c r="D554">
        <v>4</v>
      </c>
    </row>
    <row r="555" spans="2:4" x14ac:dyDescent="0.35">
      <c r="B555" s="6">
        <v>45902</v>
      </c>
      <c r="C555" t="s">
        <v>212</v>
      </c>
      <c r="D555">
        <v>3</v>
      </c>
    </row>
    <row r="556" spans="2:4" x14ac:dyDescent="0.35">
      <c r="B556" s="6">
        <v>45902</v>
      </c>
      <c r="C556" t="s">
        <v>121</v>
      </c>
      <c r="D556">
        <v>2</v>
      </c>
    </row>
    <row r="557" spans="2:4" x14ac:dyDescent="0.35">
      <c r="B557" s="6">
        <v>45902</v>
      </c>
      <c r="C557" t="s">
        <v>119</v>
      </c>
      <c r="D557">
        <v>2</v>
      </c>
    </row>
    <row r="558" spans="2:4" x14ac:dyDescent="0.35">
      <c r="B558" s="6">
        <v>45903</v>
      </c>
      <c r="C558" t="s">
        <v>147</v>
      </c>
      <c r="D558">
        <v>1</v>
      </c>
    </row>
    <row r="559" spans="2:4" x14ac:dyDescent="0.35">
      <c r="B559" s="6">
        <v>45903</v>
      </c>
      <c r="C559" t="s">
        <v>28</v>
      </c>
      <c r="D559">
        <v>1</v>
      </c>
    </row>
    <row r="560" spans="2:4" x14ac:dyDescent="0.35">
      <c r="B560" s="6">
        <v>45903</v>
      </c>
      <c r="C560" t="s">
        <v>30</v>
      </c>
      <c r="D560">
        <v>2</v>
      </c>
    </row>
    <row r="561" spans="2:4" x14ac:dyDescent="0.35">
      <c r="B561" s="6">
        <v>45903</v>
      </c>
      <c r="C561" t="s">
        <v>168</v>
      </c>
      <c r="D561">
        <v>5</v>
      </c>
    </row>
    <row r="562" spans="2:4" x14ac:dyDescent="0.35">
      <c r="B562" s="6">
        <v>45903</v>
      </c>
      <c r="C562" t="s">
        <v>192</v>
      </c>
      <c r="D562">
        <v>5</v>
      </c>
    </row>
    <row r="563" spans="2:4" x14ac:dyDescent="0.35">
      <c r="B563" s="6">
        <v>45903</v>
      </c>
      <c r="C563" t="s">
        <v>83</v>
      </c>
      <c r="D563">
        <v>2</v>
      </c>
    </row>
    <row r="564" spans="2:4" x14ac:dyDescent="0.35">
      <c r="B564" s="6">
        <v>45903</v>
      </c>
      <c r="C564" t="s">
        <v>77</v>
      </c>
      <c r="D564">
        <v>3</v>
      </c>
    </row>
    <row r="565" spans="2:4" x14ac:dyDescent="0.35">
      <c r="B565" s="6">
        <v>45903</v>
      </c>
      <c r="C565" t="s">
        <v>189</v>
      </c>
      <c r="D565">
        <v>3</v>
      </c>
    </row>
    <row r="566" spans="2:4" x14ac:dyDescent="0.35">
      <c r="B566" s="6">
        <v>45903</v>
      </c>
      <c r="C566" t="s">
        <v>199</v>
      </c>
      <c r="D566">
        <v>2</v>
      </c>
    </row>
    <row r="567" spans="2:4" x14ac:dyDescent="0.35">
      <c r="B567" s="6">
        <v>45903</v>
      </c>
      <c r="C567" t="s">
        <v>186</v>
      </c>
      <c r="D567">
        <v>2</v>
      </c>
    </row>
    <row r="568" spans="2:4" x14ac:dyDescent="0.35">
      <c r="B568" s="6">
        <v>45903</v>
      </c>
      <c r="C568" t="s">
        <v>152</v>
      </c>
      <c r="D568">
        <v>1</v>
      </c>
    </row>
    <row r="569" spans="2:4" x14ac:dyDescent="0.35">
      <c r="B569" s="6">
        <v>45903</v>
      </c>
      <c r="C569" t="s">
        <v>167</v>
      </c>
      <c r="D569">
        <v>5</v>
      </c>
    </row>
    <row r="570" spans="2:4" x14ac:dyDescent="0.35">
      <c r="B570" s="6">
        <v>45903</v>
      </c>
      <c r="C570" t="s">
        <v>66</v>
      </c>
      <c r="D570">
        <v>3</v>
      </c>
    </row>
    <row r="571" spans="2:4" x14ac:dyDescent="0.35">
      <c r="B571" s="6">
        <v>45903</v>
      </c>
      <c r="C571" t="s">
        <v>140</v>
      </c>
      <c r="D571">
        <v>1</v>
      </c>
    </row>
    <row r="572" spans="2:4" x14ac:dyDescent="0.35">
      <c r="B572" s="6">
        <v>45903</v>
      </c>
      <c r="C572" t="s">
        <v>197</v>
      </c>
      <c r="D572">
        <v>2</v>
      </c>
    </row>
    <row r="573" spans="2:4" x14ac:dyDescent="0.35">
      <c r="B573" s="6">
        <v>45903</v>
      </c>
      <c r="C573" t="s">
        <v>51</v>
      </c>
      <c r="D573">
        <v>5</v>
      </c>
    </row>
    <row r="574" spans="2:4" x14ac:dyDescent="0.35">
      <c r="B574" s="6">
        <v>45904</v>
      </c>
      <c r="C574" t="s">
        <v>50</v>
      </c>
      <c r="D574">
        <v>5</v>
      </c>
    </row>
    <row r="575" spans="2:4" x14ac:dyDescent="0.35">
      <c r="B575" s="6">
        <v>45904</v>
      </c>
      <c r="C575" t="s">
        <v>53</v>
      </c>
      <c r="D575">
        <v>5</v>
      </c>
    </row>
    <row r="576" spans="2:4" x14ac:dyDescent="0.35">
      <c r="B576" s="6">
        <v>45904</v>
      </c>
      <c r="C576" t="s">
        <v>54</v>
      </c>
      <c r="D576">
        <v>6</v>
      </c>
    </row>
    <row r="577" spans="2:4" x14ac:dyDescent="0.35">
      <c r="B577" s="6">
        <v>45904</v>
      </c>
      <c r="C577" t="s">
        <v>64</v>
      </c>
      <c r="D577">
        <v>4</v>
      </c>
    </row>
    <row r="578" spans="2:4" x14ac:dyDescent="0.35">
      <c r="B578" s="6">
        <v>45904</v>
      </c>
      <c r="C578" t="s">
        <v>63</v>
      </c>
      <c r="D578">
        <v>2</v>
      </c>
    </row>
    <row r="579" spans="2:4" x14ac:dyDescent="0.35">
      <c r="B579" s="6">
        <v>45904</v>
      </c>
      <c r="C579" t="s">
        <v>14</v>
      </c>
      <c r="D579">
        <v>1</v>
      </c>
    </row>
    <row r="580" spans="2:4" x14ac:dyDescent="0.35">
      <c r="B580" s="6">
        <v>45904</v>
      </c>
      <c r="C580" t="s">
        <v>206</v>
      </c>
      <c r="D580">
        <v>4</v>
      </c>
    </row>
    <row r="581" spans="2:4" x14ac:dyDescent="0.35">
      <c r="B581" s="6">
        <v>45904</v>
      </c>
      <c r="C581" t="s">
        <v>55</v>
      </c>
      <c r="D581">
        <v>3</v>
      </c>
    </row>
    <row r="582" spans="2:4" x14ac:dyDescent="0.35">
      <c r="B582" s="6">
        <v>45904</v>
      </c>
      <c r="C582" t="s">
        <v>173</v>
      </c>
      <c r="D582">
        <v>2</v>
      </c>
    </row>
    <row r="583" spans="2:4" x14ac:dyDescent="0.35">
      <c r="B583" s="6">
        <v>45904</v>
      </c>
      <c r="C583" t="s">
        <v>58</v>
      </c>
      <c r="D583">
        <v>3</v>
      </c>
    </row>
    <row r="584" spans="2:4" x14ac:dyDescent="0.35">
      <c r="B584" s="6">
        <v>45904</v>
      </c>
      <c r="C584" t="s">
        <v>104</v>
      </c>
      <c r="D584">
        <v>2</v>
      </c>
    </row>
    <row r="585" spans="2:4" x14ac:dyDescent="0.35">
      <c r="B585" s="6">
        <v>45904</v>
      </c>
      <c r="C585" t="s">
        <v>175</v>
      </c>
      <c r="D585">
        <v>1</v>
      </c>
    </row>
    <row r="586" spans="2:4" x14ac:dyDescent="0.35">
      <c r="B586" s="6">
        <v>45904</v>
      </c>
      <c r="C586" t="s">
        <v>15</v>
      </c>
      <c r="D586">
        <v>1</v>
      </c>
    </row>
    <row r="587" spans="2:4" x14ac:dyDescent="0.35">
      <c r="B587" s="6">
        <v>45904</v>
      </c>
      <c r="C587" t="s">
        <v>24</v>
      </c>
      <c r="D587">
        <v>1</v>
      </c>
    </row>
    <row r="588" spans="2:4" x14ac:dyDescent="0.35">
      <c r="B588" s="6">
        <v>45904</v>
      </c>
      <c r="C588" t="s">
        <v>206</v>
      </c>
      <c r="D588">
        <v>4</v>
      </c>
    </row>
    <row r="589" spans="2:4" x14ac:dyDescent="0.35">
      <c r="B589" s="6">
        <v>45904</v>
      </c>
      <c r="C589" t="s">
        <v>133</v>
      </c>
      <c r="D589">
        <v>5</v>
      </c>
    </row>
    <row r="590" spans="2:4" x14ac:dyDescent="0.35">
      <c r="B590" s="6">
        <v>45905</v>
      </c>
      <c r="C590" t="s">
        <v>146</v>
      </c>
      <c r="D590">
        <v>5</v>
      </c>
    </row>
    <row r="591" spans="2:4" x14ac:dyDescent="0.35">
      <c r="B591" s="6">
        <v>45905</v>
      </c>
      <c r="C591" t="s">
        <v>198</v>
      </c>
      <c r="D591">
        <v>2</v>
      </c>
    </row>
    <row r="592" spans="2:4" x14ac:dyDescent="0.35">
      <c r="B592" s="6">
        <v>45905</v>
      </c>
      <c r="C592" t="s">
        <v>128</v>
      </c>
      <c r="D592">
        <v>1</v>
      </c>
    </row>
    <row r="593" spans="2:4" x14ac:dyDescent="0.35">
      <c r="B593" s="6">
        <v>45905</v>
      </c>
      <c r="C593" t="s">
        <v>160</v>
      </c>
      <c r="D593">
        <v>2</v>
      </c>
    </row>
    <row r="594" spans="2:4" x14ac:dyDescent="0.35">
      <c r="B594" s="6">
        <v>45905</v>
      </c>
      <c r="C594" t="s">
        <v>207</v>
      </c>
      <c r="D594">
        <v>2</v>
      </c>
    </row>
    <row r="595" spans="2:4" x14ac:dyDescent="0.35">
      <c r="B595" s="6">
        <v>45905</v>
      </c>
      <c r="C595" t="s">
        <v>170</v>
      </c>
      <c r="D595">
        <v>1</v>
      </c>
    </row>
    <row r="596" spans="2:4" x14ac:dyDescent="0.35">
      <c r="B596" s="6">
        <v>45905</v>
      </c>
      <c r="C596" t="s">
        <v>177</v>
      </c>
      <c r="D596">
        <v>1</v>
      </c>
    </row>
    <row r="597" spans="2:4" x14ac:dyDescent="0.35">
      <c r="B597" s="6">
        <v>45905</v>
      </c>
      <c r="C597" t="s">
        <v>31</v>
      </c>
      <c r="D597">
        <v>1</v>
      </c>
    </row>
    <row r="598" spans="2:4" x14ac:dyDescent="0.35">
      <c r="B598" s="6">
        <v>45905</v>
      </c>
      <c r="C598" t="s">
        <v>216</v>
      </c>
      <c r="D598">
        <v>2</v>
      </c>
    </row>
    <row r="599" spans="2:4" x14ac:dyDescent="0.35">
      <c r="B599" s="6">
        <v>45905</v>
      </c>
      <c r="C599" t="s">
        <v>194</v>
      </c>
      <c r="D599">
        <v>1</v>
      </c>
    </row>
    <row r="600" spans="2:4" x14ac:dyDescent="0.35">
      <c r="B600" s="6">
        <v>45905</v>
      </c>
      <c r="C600" t="s">
        <v>67</v>
      </c>
      <c r="D600">
        <v>3</v>
      </c>
    </row>
    <row r="601" spans="2:4" x14ac:dyDescent="0.35">
      <c r="B601" s="6">
        <v>45905</v>
      </c>
      <c r="C601" t="s">
        <v>205</v>
      </c>
      <c r="D601">
        <v>1</v>
      </c>
    </row>
    <row r="602" spans="2:4" x14ac:dyDescent="0.35">
      <c r="B602" s="6">
        <v>45905</v>
      </c>
      <c r="C602" t="s">
        <v>135</v>
      </c>
      <c r="D602">
        <v>1</v>
      </c>
    </row>
    <row r="603" spans="2:4" x14ac:dyDescent="0.35">
      <c r="B603" s="6">
        <v>45905</v>
      </c>
      <c r="C603" t="s">
        <v>207</v>
      </c>
      <c r="D603">
        <v>2</v>
      </c>
    </row>
    <row r="604" spans="2:4" x14ac:dyDescent="0.35">
      <c r="B604" s="6">
        <v>45905</v>
      </c>
      <c r="C604" t="s">
        <v>167</v>
      </c>
      <c r="D604">
        <v>5</v>
      </c>
    </row>
    <row r="605" spans="2:4" x14ac:dyDescent="0.35">
      <c r="B605" s="6">
        <v>45905</v>
      </c>
      <c r="C605" t="s">
        <v>201</v>
      </c>
      <c r="D605">
        <v>2</v>
      </c>
    </row>
    <row r="606" spans="2:4" x14ac:dyDescent="0.35">
      <c r="B606" s="6">
        <v>45905</v>
      </c>
      <c r="C606" t="s">
        <v>83</v>
      </c>
      <c r="D606">
        <v>1</v>
      </c>
    </row>
    <row r="607" spans="2:4" x14ac:dyDescent="0.35">
      <c r="B607" s="6">
        <v>45905</v>
      </c>
      <c r="C607" t="s">
        <v>107</v>
      </c>
      <c r="D607">
        <v>2</v>
      </c>
    </row>
    <row r="608" spans="2:4" x14ac:dyDescent="0.35">
      <c r="B608" s="6">
        <v>45906</v>
      </c>
      <c r="C608" t="s">
        <v>194</v>
      </c>
      <c r="D608">
        <v>1</v>
      </c>
    </row>
    <row r="609" spans="2:4" x14ac:dyDescent="0.35">
      <c r="B609" s="6">
        <v>45906</v>
      </c>
      <c r="C609" t="s">
        <v>134</v>
      </c>
      <c r="D609">
        <v>2</v>
      </c>
    </row>
    <row r="610" spans="2:4" x14ac:dyDescent="0.35">
      <c r="B610" s="6">
        <v>45906</v>
      </c>
      <c r="C610" t="s">
        <v>212</v>
      </c>
      <c r="D610">
        <v>1</v>
      </c>
    </row>
    <row r="611" spans="2:4" x14ac:dyDescent="0.35">
      <c r="B611" s="6">
        <v>45906</v>
      </c>
      <c r="C611" t="s">
        <v>13</v>
      </c>
      <c r="D611">
        <v>1</v>
      </c>
    </row>
    <row r="612" spans="2:4" x14ac:dyDescent="0.35">
      <c r="B612" s="6">
        <v>45906</v>
      </c>
      <c r="C612" t="s">
        <v>142</v>
      </c>
      <c r="D612">
        <v>2</v>
      </c>
    </row>
    <row r="613" spans="2:4" x14ac:dyDescent="0.35">
      <c r="B613" s="6">
        <v>45906</v>
      </c>
      <c r="C613" s="2" t="s">
        <v>95</v>
      </c>
      <c r="D613">
        <v>1</v>
      </c>
    </row>
    <row r="614" spans="2:4" x14ac:dyDescent="0.35">
      <c r="B614" s="6">
        <v>45906</v>
      </c>
      <c r="C614" s="2" t="s">
        <v>44</v>
      </c>
      <c r="D614">
        <v>2</v>
      </c>
    </row>
    <row r="615" spans="2:4" x14ac:dyDescent="0.35">
      <c r="B615" s="6">
        <v>45906</v>
      </c>
      <c r="C615" s="2" t="s">
        <v>42</v>
      </c>
      <c r="D615">
        <v>2</v>
      </c>
    </row>
    <row r="616" spans="2:4" x14ac:dyDescent="0.35">
      <c r="B616" s="6">
        <v>45906</v>
      </c>
      <c r="C616" s="2" t="s">
        <v>41</v>
      </c>
      <c r="D616">
        <v>2</v>
      </c>
    </row>
    <row r="617" spans="2:4" x14ac:dyDescent="0.35">
      <c r="B617" s="6">
        <v>45906</v>
      </c>
      <c r="C617" s="9" t="s">
        <v>163</v>
      </c>
      <c r="D617">
        <v>2</v>
      </c>
    </row>
    <row r="618" spans="2:4" x14ac:dyDescent="0.35">
      <c r="B618" s="6">
        <v>45906</v>
      </c>
      <c r="C618" s="9" t="s">
        <v>166</v>
      </c>
      <c r="D618">
        <v>4</v>
      </c>
    </row>
    <row r="619" spans="2:4" x14ac:dyDescent="0.35">
      <c r="B619" s="6">
        <v>45906</v>
      </c>
      <c r="C619" s="9" t="s">
        <v>159</v>
      </c>
      <c r="D619">
        <v>2</v>
      </c>
    </row>
    <row r="620" spans="2:4" x14ac:dyDescent="0.35">
      <c r="B620" s="6">
        <v>45906</v>
      </c>
      <c r="C620" s="2" t="s">
        <v>86</v>
      </c>
      <c r="D620">
        <v>1</v>
      </c>
    </row>
    <row r="621" spans="2:4" x14ac:dyDescent="0.35">
      <c r="B621" s="6">
        <v>45906</v>
      </c>
      <c r="C621" s="2" t="s">
        <v>102</v>
      </c>
      <c r="D621">
        <v>1</v>
      </c>
    </row>
    <row r="622" spans="2:4" x14ac:dyDescent="0.35">
      <c r="B622" s="6">
        <v>45906</v>
      </c>
      <c r="C622" s="2" t="s">
        <v>105</v>
      </c>
      <c r="D622">
        <v>2</v>
      </c>
    </row>
    <row r="623" spans="2:4" x14ac:dyDescent="0.35">
      <c r="B623" s="6">
        <v>45906</v>
      </c>
      <c r="C623" s="2" t="s">
        <v>104</v>
      </c>
      <c r="D623">
        <v>2</v>
      </c>
    </row>
    <row r="624" spans="2:4" x14ac:dyDescent="0.35">
      <c r="B624" s="6">
        <v>45906</v>
      </c>
      <c r="C624" s="2" t="s">
        <v>110</v>
      </c>
      <c r="D624">
        <v>3</v>
      </c>
    </row>
    <row r="625" spans="2:4" x14ac:dyDescent="0.35">
      <c r="B625" s="6">
        <v>45906</v>
      </c>
      <c r="C625" s="9" t="s">
        <v>131</v>
      </c>
      <c r="D625">
        <v>3</v>
      </c>
    </row>
    <row r="626" spans="2:4" x14ac:dyDescent="0.35">
      <c r="B626" s="6">
        <v>45906</v>
      </c>
      <c r="C626" s="9" t="s">
        <v>133</v>
      </c>
      <c r="D626">
        <v>3</v>
      </c>
    </row>
    <row r="627" spans="2:4" x14ac:dyDescent="0.35">
      <c r="B627" s="6">
        <v>45906</v>
      </c>
      <c r="C627" s="9" t="s">
        <v>145</v>
      </c>
      <c r="D627">
        <v>1</v>
      </c>
    </row>
    <row r="628" spans="2:4" x14ac:dyDescent="0.35">
      <c r="B628" s="6">
        <v>45906</v>
      </c>
      <c r="C628" s="2" t="s">
        <v>46</v>
      </c>
      <c r="D628">
        <v>2</v>
      </c>
    </row>
    <row r="629" spans="2:4" x14ac:dyDescent="0.35">
      <c r="B629" s="6">
        <v>45906</v>
      </c>
      <c r="C629" s="2" t="s">
        <v>49</v>
      </c>
      <c r="D629">
        <v>2</v>
      </c>
    </row>
    <row r="630" spans="2:4" x14ac:dyDescent="0.35">
      <c r="B630" s="6">
        <v>45908</v>
      </c>
      <c r="C630" s="2" t="s">
        <v>16</v>
      </c>
      <c r="D630">
        <v>1</v>
      </c>
    </row>
    <row r="631" spans="2:4" x14ac:dyDescent="0.35">
      <c r="B631" s="6">
        <v>45908</v>
      </c>
      <c r="C631" s="9" t="s">
        <v>182</v>
      </c>
      <c r="D631">
        <v>3</v>
      </c>
    </row>
    <row r="632" spans="2:4" x14ac:dyDescent="0.35">
      <c r="B632" s="6">
        <v>45908</v>
      </c>
      <c r="C632" s="9" t="s">
        <v>180</v>
      </c>
      <c r="D632">
        <v>3</v>
      </c>
    </row>
    <row r="633" spans="2:4" x14ac:dyDescent="0.35">
      <c r="B633" s="6">
        <v>45908</v>
      </c>
      <c r="C633" s="2" t="s">
        <v>74</v>
      </c>
      <c r="D633">
        <v>2</v>
      </c>
    </row>
    <row r="634" spans="2:4" x14ac:dyDescent="0.35">
      <c r="B634" s="6">
        <v>45908</v>
      </c>
      <c r="C634" s="9" t="s">
        <v>141</v>
      </c>
      <c r="D634">
        <v>1</v>
      </c>
    </row>
    <row r="635" spans="2:4" x14ac:dyDescent="0.35">
      <c r="B635" s="6">
        <v>45908</v>
      </c>
      <c r="C635" s="2" t="s">
        <v>40</v>
      </c>
      <c r="D635">
        <v>3</v>
      </c>
    </row>
    <row r="636" spans="2:4" x14ac:dyDescent="0.35">
      <c r="B636" s="6">
        <v>45908</v>
      </c>
      <c r="C636" s="2" t="s">
        <v>96</v>
      </c>
      <c r="D636">
        <v>3</v>
      </c>
    </row>
    <row r="637" spans="2:4" x14ac:dyDescent="0.35">
      <c r="B637" s="6">
        <v>45908</v>
      </c>
      <c r="C637" s="2" t="s">
        <v>111</v>
      </c>
      <c r="D637">
        <v>3</v>
      </c>
    </row>
    <row r="638" spans="2:4" x14ac:dyDescent="0.35">
      <c r="B638" s="6">
        <v>45908</v>
      </c>
      <c r="C638" s="2" t="s">
        <v>52</v>
      </c>
      <c r="D638">
        <v>3</v>
      </c>
    </row>
    <row r="639" spans="2:4" x14ac:dyDescent="0.35">
      <c r="B639" s="6">
        <v>45908</v>
      </c>
      <c r="C639" s="2" t="s">
        <v>85</v>
      </c>
      <c r="D639">
        <v>1</v>
      </c>
    </row>
    <row r="640" spans="2:4" x14ac:dyDescent="0.35">
      <c r="B640" s="6">
        <v>45908</v>
      </c>
      <c r="C640" s="9" t="s">
        <v>200</v>
      </c>
      <c r="D640">
        <v>1</v>
      </c>
    </row>
    <row r="641" spans="2:4" x14ac:dyDescent="0.35">
      <c r="B641" s="6">
        <v>45908</v>
      </c>
      <c r="C641" s="9" t="s">
        <v>158</v>
      </c>
      <c r="D641">
        <v>6</v>
      </c>
    </row>
    <row r="642" spans="2:4" x14ac:dyDescent="0.35">
      <c r="B642" s="6">
        <v>45908</v>
      </c>
      <c r="C642" s="9" t="s">
        <v>162</v>
      </c>
      <c r="D642">
        <v>2</v>
      </c>
    </row>
    <row r="643" spans="2:4" x14ac:dyDescent="0.35">
      <c r="B643" s="6">
        <v>45908</v>
      </c>
      <c r="C643" s="2" t="s">
        <v>39</v>
      </c>
      <c r="D643">
        <v>2</v>
      </c>
    </row>
    <row r="644" spans="2:4" x14ac:dyDescent="0.35">
      <c r="B644" s="6">
        <v>45908</v>
      </c>
      <c r="C644" s="9" t="s">
        <v>218</v>
      </c>
      <c r="D644">
        <v>2</v>
      </c>
    </row>
    <row r="645" spans="2:4" x14ac:dyDescent="0.35">
      <c r="B645" s="6">
        <v>45908</v>
      </c>
      <c r="C645" s="9" t="s">
        <v>124</v>
      </c>
      <c r="D645">
        <v>2</v>
      </c>
    </row>
    <row r="646" spans="2:4" x14ac:dyDescent="0.35">
      <c r="B646" s="6">
        <v>45908</v>
      </c>
      <c r="C646" s="9" t="s">
        <v>122</v>
      </c>
      <c r="D646">
        <v>3</v>
      </c>
    </row>
    <row r="647" spans="2:4" x14ac:dyDescent="0.35">
      <c r="B647" s="6">
        <v>45908</v>
      </c>
      <c r="C647" s="2" t="s">
        <v>34</v>
      </c>
      <c r="D647">
        <v>2</v>
      </c>
    </row>
    <row r="648" spans="2:4" x14ac:dyDescent="0.35">
      <c r="B648" s="6">
        <v>45908</v>
      </c>
      <c r="C648" s="2" t="s">
        <v>80</v>
      </c>
      <c r="D648">
        <v>1</v>
      </c>
    </row>
    <row r="649" spans="2:4" x14ac:dyDescent="0.35">
      <c r="B649" s="6">
        <v>45908</v>
      </c>
      <c r="C649" s="9" t="s">
        <v>157</v>
      </c>
      <c r="D649">
        <v>1</v>
      </c>
    </row>
    <row r="650" spans="2:4" x14ac:dyDescent="0.35">
      <c r="B650" s="6">
        <v>45908</v>
      </c>
      <c r="C650" s="9" t="s">
        <v>120</v>
      </c>
      <c r="D650">
        <v>1</v>
      </c>
    </row>
    <row r="651" spans="2:4" x14ac:dyDescent="0.35">
      <c r="B651" s="6">
        <v>45908</v>
      </c>
      <c r="C651" s="9" t="s">
        <v>196</v>
      </c>
      <c r="D651">
        <v>2</v>
      </c>
    </row>
    <row r="652" spans="2:4" x14ac:dyDescent="0.35">
      <c r="B652" s="6">
        <v>45908</v>
      </c>
      <c r="C652" s="9" t="s">
        <v>151</v>
      </c>
      <c r="D652">
        <v>1</v>
      </c>
    </row>
    <row r="653" spans="2:4" x14ac:dyDescent="0.35">
      <c r="B653" s="6">
        <v>45909</v>
      </c>
      <c r="C653" s="2" t="s">
        <v>32</v>
      </c>
      <c r="D653">
        <v>3</v>
      </c>
    </row>
    <row r="654" spans="2:4" x14ac:dyDescent="0.35">
      <c r="B654" s="6">
        <v>45909</v>
      </c>
      <c r="C654" s="9" t="s">
        <v>148</v>
      </c>
      <c r="D654">
        <v>5</v>
      </c>
    </row>
    <row r="655" spans="2:4" x14ac:dyDescent="0.35">
      <c r="B655" s="6">
        <v>45909</v>
      </c>
      <c r="C655" s="9" t="s">
        <v>139</v>
      </c>
      <c r="D655">
        <v>2</v>
      </c>
    </row>
    <row r="656" spans="2:4" x14ac:dyDescent="0.35">
      <c r="B656" s="6">
        <v>45909</v>
      </c>
      <c r="C656" s="2" t="s">
        <v>45</v>
      </c>
      <c r="D656">
        <v>4</v>
      </c>
    </row>
    <row r="657" spans="2:4" x14ac:dyDescent="0.35">
      <c r="B657" s="6">
        <v>45909</v>
      </c>
      <c r="C657" s="9" t="s">
        <v>132</v>
      </c>
      <c r="D657">
        <v>2</v>
      </c>
    </row>
    <row r="658" spans="2:4" x14ac:dyDescent="0.35">
      <c r="B658" s="6">
        <v>45909</v>
      </c>
      <c r="C658" s="9" t="s">
        <v>124</v>
      </c>
      <c r="D658">
        <v>5</v>
      </c>
    </row>
    <row r="659" spans="2:4" x14ac:dyDescent="0.35">
      <c r="B659" s="6">
        <v>45909</v>
      </c>
      <c r="C659" s="9" t="s">
        <v>122</v>
      </c>
      <c r="D659">
        <v>5</v>
      </c>
    </row>
    <row r="660" spans="2:4" x14ac:dyDescent="0.35">
      <c r="B660" s="6">
        <v>45909</v>
      </c>
      <c r="C660" s="9" t="s">
        <v>196</v>
      </c>
      <c r="D660">
        <v>1</v>
      </c>
    </row>
    <row r="661" spans="2:4" x14ac:dyDescent="0.35">
      <c r="B661" s="6">
        <v>45909</v>
      </c>
      <c r="C661" s="9" t="s">
        <v>138</v>
      </c>
      <c r="D661">
        <v>4</v>
      </c>
    </row>
    <row r="662" spans="2:4" x14ac:dyDescent="0.35">
      <c r="B662" s="6">
        <v>45909</v>
      </c>
      <c r="C662" s="9" t="s">
        <v>154</v>
      </c>
      <c r="D662">
        <v>4</v>
      </c>
    </row>
    <row r="663" spans="2:4" x14ac:dyDescent="0.35">
      <c r="B663" s="6">
        <v>45909</v>
      </c>
      <c r="C663" s="9" t="s">
        <v>130</v>
      </c>
      <c r="D663">
        <v>1</v>
      </c>
    </row>
    <row r="664" spans="2:4" x14ac:dyDescent="0.35">
      <c r="B664" s="6">
        <v>45909</v>
      </c>
      <c r="C664" s="2" t="s">
        <v>106</v>
      </c>
      <c r="D664">
        <v>5</v>
      </c>
    </row>
    <row r="665" spans="2:4" x14ac:dyDescent="0.35">
      <c r="B665" s="6">
        <v>45909</v>
      </c>
      <c r="C665" s="2" t="s">
        <v>113</v>
      </c>
      <c r="D665">
        <v>5</v>
      </c>
    </row>
    <row r="666" spans="2:4" x14ac:dyDescent="0.35">
      <c r="B666" s="6">
        <v>45909</v>
      </c>
      <c r="C666" s="2" t="s">
        <v>12</v>
      </c>
      <c r="D666">
        <v>1</v>
      </c>
    </row>
    <row r="667" spans="2:4" x14ac:dyDescent="0.35">
      <c r="B667" s="6">
        <v>45909</v>
      </c>
      <c r="C667" s="2" t="s">
        <v>62</v>
      </c>
      <c r="D667">
        <v>3</v>
      </c>
    </row>
    <row r="668" spans="2:4" x14ac:dyDescent="0.35">
      <c r="B668" s="6">
        <v>45909</v>
      </c>
      <c r="C668" s="9" t="s">
        <v>139</v>
      </c>
      <c r="D668">
        <v>1</v>
      </c>
    </row>
    <row r="669" spans="2:4" x14ac:dyDescent="0.35">
      <c r="B669" s="6">
        <v>45909</v>
      </c>
      <c r="C669" s="9" t="s">
        <v>155</v>
      </c>
      <c r="D669">
        <v>1</v>
      </c>
    </row>
    <row r="670" spans="2:4" x14ac:dyDescent="0.35">
      <c r="B670" s="6">
        <v>45909</v>
      </c>
      <c r="C670" s="9" t="s">
        <v>209</v>
      </c>
      <c r="D670">
        <v>3</v>
      </c>
    </row>
    <row r="671" spans="2:4" x14ac:dyDescent="0.35">
      <c r="B671" s="6">
        <v>45909</v>
      </c>
      <c r="C671" s="9" t="s">
        <v>208</v>
      </c>
      <c r="D671">
        <v>3</v>
      </c>
    </row>
    <row r="672" spans="2:4" x14ac:dyDescent="0.35">
      <c r="B672" s="6">
        <v>45909</v>
      </c>
      <c r="C672" s="9" t="s">
        <v>149</v>
      </c>
      <c r="D672">
        <v>1</v>
      </c>
    </row>
    <row r="673" spans="2:4" x14ac:dyDescent="0.35">
      <c r="B673" s="6">
        <v>45909</v>
      </c>
      <c r="C673" s="1" t="s">
        <v>11</v>
      </c>
      <c r="D673">
        <v>2</v>
      </c>
    </row>
    <row r="674" spans="2:4" x14ac:dyDescent="0.35">
      <c r="B674" s="6">
        <v>45909</v>
      </c>
      <c r="C674" s="2" t="s">
        <v>56</v>
      </c>
      <c r="D674">
        <v>4</v>
      </c>
    </row>
    <row r="675" spans="2:4" x14ac:dyDescent="0.35">
      <c r="B675" s="6">
        <v>45909</v>
      </c>
      <c r="C675" s="9" t="s">
        <v>153</v>
      </c>
      <c r="D675">
        <v>2</v>
      </c>
    </row>
    <row r="676" spans="2:4" x14ac:dyDescent="0.35">
      <c r="B676" s="6">
        <v>45909</v>
      </c>
      <c r="C676" s="9" t="s">
        <v>215</v>
      </c>
      <c r="D676">
        <v>7</v>
      </c>
    </row>
    <row r="677" spans="2:4" x14ac:dyDescent="0.35">
      <c r="B677" s="6">
        <v>45909</v>
      </c>
      <c r="C677" s="9" t="s">
        <v>213</v>
      </c>
      <c r="D677">
        <v>2</v>
      </c>
    </row>
    <row r="678" spans="2:4" x14ac:dyDescent="0.35">
      <c r="B678" s="6">
        <v>45909</v>
      </c>
      <c r="C678" s="9" t="s">
        <v>156</v>
      </c>
      <c r="D678">
        <v>3</v>
      </c>
    </row>
    <row r="679" spans="2:4" x14ac:dyDescent="0.35">
      <c r="B679" s="6">
        <v>45909</v>
      </c>
      <c r="C679" s="2" t="s">
        <v>93</v>
      </c>
      <c r="D679">
        <v>1</v>
      </c>
    </row>
    <row r="680" spans="2:4" x14ac:dyDescent="0.35">
      <c r="B680" s="6">
        <v>45909</v>
      </c>
      <c r="C680" s="2" t="s">
        <v>78</v>
      </c>
      <c r="D680">
        <v>2</v>
      </c>
    </row>
    <row r="681" spans="2:4" x14ac:dyDescent="0.35">
      <c r="B681" s="6">
        <v>45909</v>
      </c>
      <c r="C681" s="1" t="s">
        <v>8</v>
      </c>
      <c r="D681">
        <v>2</v>
      </c>
    </row>
    <row r="682" spans="2:4" x14ac:dyDescent="0.35">
      <c r="B682" s="6">
        <v>45909</v>
      </c>
      <c r="C682" s="2" t="s">
        <v>59</v>
      </c>
      <c r="D682">
        <v>1</v>
      </c>
    </row>
    <row r="683" spans="2:4" x14ac:dyDescent="0.35">
      <c r="B683" s="6">
        <v>45909</v>
      </c>
      <c r="C683" s="9" t="s">
        <v>202</v>
      </c>
      <c r="D683">
        <v>3</v>
      </c>
    </row>
    <row r="684" spans="2:4" x14ac:dyDescent="0.35">
      <c r="B684" s="6">
        <v>45909</v>
      </c>
      <c r="C684" s="9" t="s">
        <v>204</v>
      </c>
      <c r="D684">
        <v>3</v>
      </c>
    </row>
    <row r="685" spans="2:4" x14ac:dyDescent="0.35">
      <c r="B685" s="6">
        <v>45909</v>
      </c>
      <c r="C685" s="2" t="s">
        <v>87</v>
      </c>
      <c r="D685">
        <v>7</v>
      </c>
    </row>
    <row r="686" spans="2:4" x14ac:dyDescent="0.35">
      <c r="B686" s="6">
        <v>45910</v>
      </c>
      <c r="C686" s="9" t="s">
        <v>181</v>
      </c>
      <c r="D686">
        <v>4</v>
      </c>
    </row>
    <row r="687" spans="2:4" x14ac:dyDescent="0.35">
      <c r="B687" s="6">
        <v>45910</v>
      </c>
      <c r="C687" s="9" t="s">
        <v>211</v>
      </c>
      <c r="D687">
        <v>2</v>
      </c>
    </row>
    <row r="688" spans="2:4" x14ac:dyDescent="0.35">
      <c r="B688" s="6">
        <v>45910</v>
      </c>
      <c r="C688" s="2" t="s">
        <v>82</v>
      </c>
      <c r="D688">
        <v>1</v>
      </c>
    </row>
    <row r="689" spans="2:4" x14ac:dyDescent="0.35">
      <c r="B689" s="6">
        <v>45910</v>
      </c>
      <c r="C689" s="2" t="s">
        <v>21</v>
      </c>
      <c r="D689">
        <v>2</v>
      </c>
    </row>
    <row r="690" spans="2:4" x14ac:dyDescent="0.35">
      <c r="B690" s="6">
        <v>45910</v>
      </c>
      <c r="C690" s="2" t="s">
        <v>90</v>
      </c>
      <c r="D690">
        <v>1</v>
      </c>
    </row>
    <row r="691" spans="2:4" x14ac:dyDescent="0.35">
      <c r="B691" s="6">
        <v>45910</v>
      </c>
      <c r="C691" s="2" t="s">
        <v>27</v>
      </c>
      <c r="D691">
        <v>1</v>
      </c>
    </row>
    <row r="692" spans="2:4" x14ac:dyDescent="0.35">
      <c r="B692" s="6">
        <v>45910</v>
      </c>
      <c r="C692" s="9" t="s">
        <v>166</v>
      </c>
      <c r="D692">
        <v>10</v>
      </c>
    </row>
    <row r="693" spans="2:4" x14ac:dyDescent="0.35">
      <c r="B693" s="6">
        <v>45910</v>
      </c>
      <c r="C693" s="2" t="s">
        <v>22</v>
      </c>
      <c r="D693">
        <v>1</v>
      </c>
    </row>
    <row r="694" spans="2:4" x14ac:dyDescent="0.35">
      <c r="B694" s="6">
        <v>45910</v>
      </c>
      <c r="C694" s="9" t="s">
        <v>183</v>
      </c>
      <c r="D694">
        <v>2</v>
      </c>
    </row>
    <row r="695" spans="2:4" x14ac:dyDescent="0.35">
      <c r="B695" s="6">
        <v>45910</v>
      </c>
      <c r="C695" s="9" t="s">
        <v>187</v>
      </c>
      <c r="D695">
        <v>1</v>
      </c>
    </row>
    <row r="696" spans="2:4" x14ac:dyDescent="0.35">
      <c r="B696" s="6">
        <v>45910</v>
      </c>
      <c r="C696" s="2" t="s">
        <v>23</v>
      </c>
      <c r="D696">
        <v>1</v>
      </c>
    </row>
    <row r="697" spans="2:4" x14ac:dyDescent="0.35">
      <c r="B697" s="6">
        <v>45910</v>
      </c>
      <c r="C697" s="2" t="s">
        <v>65</v>
      </c>
      <c r="D697">
        <v>2</v>
      </c>
    </row>
    <row r="698" spans="2:4" x14ac:dyDescent="0.35">
      <c r="B698" s="6">
        <v>45910</v>
      </c>
      <c r="C698" s="2" t="s">
        <v>76</v>
      </c>
      <c r="D698">
        <v>5</v>
      </c>
    </row>
    <row r="699" spans="2:4" x14ac:dyDescent="0.35">
      <c r="B699" s="6">
        <v>45910</v>
      </c>
      <c r="C699" s="9" t="s">
        <v>190</v>
      </c>
      <c r="D699">
        <v>3</v>
      </c>
    </row>
    <row r="700" spans="2:4" x14ac:dyDescent="0.35">
      <c r="B700" s="6">
        <v>45910</v>
      </c>
      <c r="C700" s="9" t="s">
        <v>191</v>
      </c>
      <c r="D700">
        <v>3</v>
      </c>
    </row>
    <row r="701" spans="2:4" x14ac:dyDescent="0.35">
      <c r="B701" s="6">
        <v>45910</v>
      </c>
      <c r="C701" s="2" t="s">
        <v>19</v>
      </c>
      <c r="D701">
        <v>1</v>
      </c>
    </row>
    <row r="702" spans="2:4" x14ac:dyDescent="0.35">
      <c r="B702" s="6">
        <v>45910</v>
      </c>
      <c r="C702" s="2" t="s">
        <v>84</v>
      </c>
      <c r="D702">
        <v>2</v>
      </c>
    </row>
    <row r="703" spans="2:4" x14ac:dyDescent="0.35">
      <c r="B703" s="6">
        <v>45910</v>
      </c>
      <c r="C703" s="9" t="s">
        <v>129</v>
      </c>
      <c r="D703">
        <v>7</v>
      </c>
    </row>
    <row r="704" spans="2:4" x14ac:dyDescent="0.35">
      <c r="B704" s="6">
        <v>45910</v>
      </c>
      <c r="C704" s="9" t="s">
        <v>136</v>
      </c>
      <c r="D704">
        <v>7</v>
      </c>
    </row>
    <row r="705" spans="2:4" x14ac:dyDescent="0.35">
      <c r="B705" s="6">
        <v>45910</v>
      </c>
      <c r="C705" s="1" t="s">
        <v>7</v>
      </c>
      <c r="D705">
        <v>2</v>
      </c>
    </row>
    <row r="706" spans="2:4" x14ac:dyDescent="0.35">
      <c r="B706" s="6">
        <v>45910</v>
      </c>
      <c r="C706" s="2" t="s">
        <v>53</v>
      </c>
      <c r="D706">
        <v>1</v>
      </c>
    </row>
    <row r="707" spans="2:4" x14ac:dyDescent="0.35">
      <c r="B707" s="6">
        <v>45910</v>
      </c>
      <c r="C707" s="2" t="s">
        <v>99</v>
      </c>
      <c r="D707">
        <v>4</v>
      </c>
    </row>
    <row r="708" spans="2:4" x14ac:dyDescent="0.35">
      <c r="B708" s="6">
        <v>45910</v>
      </c>
      <c r="C708" s="9" t="s">
        <v>190</v>
      </c>
      <c r="D708">
        <v>2</v>
      </c>
    </row>
    <row r="709" spans="2:4" x14ac:dyDescent="0.35">
      <c r="B709" s="6">
        <v>45910</v>
      </c>
      <c r="C709" s="2" t="s">
        <v>17</v>
      </c>
      <c r="D709">
        <v>2</v>
      </c>
    </row>
    <row r="710" spans="2:4" x14ac:dyDescent="0.35">
      <c r="B710" s="6">
        <v>45910</v>
      </c>
      <c r="C710" s="9" t="s">
        <v>180</v>
      </c>
      <c r="D710">
        <v>2</v>
      </c>
    </row>
    <row r="711" spans="2:4" x14ac:dyDescent="0.35">
      <c r="B711" s="6">
        <v>45910</v>
      </c>
      <c r="C711" s="2" t="s">
        <v>71</v>
      </c>
      <c r="D711">
        <v>6</v>
      </c>
    </row>
    <row r="712" spans="2:4" x14ac:dyDescent="0.35">
      <c r="B712" s="6">
        <v>45911</v>
      </c>
      <c r="C712" s="9" t="s">
        <v>186</v>
      </c>
      <c r="D712">
        <v>2</v>
      </c>
    </row>
    <row r="713" spans="2:4" x14ac:dyDescent="0.35">
      <c r="B713" s="6">
        <v>45911</v>
      </c>
      <c r="C713" s="9" t="s">
        <v>182</v>
      </c>
      <c r="D713">
        <v>1</v>
      </c>
    </row>
    <row r="714" spans="2:4" x14ac:dyDescent="0.35">
      <c r="B714" s="6">
        <v>45911</v>
      </c>
      <c r="C714" s="2" t="s">
        <v>88</v>
      </c>
      <c r="D714">
        <v>1</v>
      </c>
    </row>
    <row r="715" spans="2:4" x14ac:dyDescent="0.35">
      <c r="B715" s="6">
        <v>45911</v>
      </c>
      <c r="C715" s="9" t="s">
        <v>126</v>
      </c>
      <c r="D715">
        <v>2</v>
      </c>
    </row>
    <row r="716" spans="2:4" x14ac:dyDescent="0.35">
      <c r="B716" s="6">
        <v>45911</v>
      </c>
      <c r="C716" s="2" t="s">
        <v>100</v>
      </c>
      <c r="D716">
        <v>3</v>
      </c>
    </row>
    <row r="717" spans="2:4" x14ac:dyDescent="0.35">
      <c r="B717" s="6">
        <v>45911</v>
      </c>
      <c r="C717" s="9" t="s">
        <v>189</v>
      </c>
      <c r="D717">
        <v>2</v>
      </c>
    </row>
    <row r="718" spans="2:4" x14ac:dyDescent="0.35">
      <c r="B718" s="6">
        <v>45911</v>
      </c>
      <c r="C718" s="2" t="s">
        <v>74</v>
      </c>
      <c r="D718">
        <v>5</v>
      </c>
    </row>
    <row r="719" spans="2:4" x14ac:dyDescent="0.35">
      <c r="B719" s="6">
        <v>45911</v>
      </c>
      <c r="C719" s="9" t="s">
        <v>179</v>
      </c>
      <c r="D719">
        <v>2</v>
      </c>
    </row>
    <row r="720" spans="2:4" x14ac:dyDescent="0.35">
      <c r="B720" s="6">
        <v>45911</v>
      </c>
      <c r="C720" s="9" t="s">
        <v>202</v>
      </c>
      <c r="D720">
        <v>5</v>
      </c>
    </row>
    <row r="721" spans="2:4" x14ac:dyDescent="0.35">
      <c r="B721" s="6">
        <v>45911</v>
      </c>
      <c r="C721" s="9" t="s">
        <v>203</v>
      </c>
      <c r="D721">
        <v>5</v>
      </c>
    </row>
    <row r="722" spans="2:4" x14ac:dyDescent="0.35">
      <c r="B722" s="6">
        <v>45911</v>
      </c>
      <c r="C722" s="9" t="s">
        <v>185</v>
      </c>
      <c r="D722">
        <v>2</v>
      </c>
    </row>
    <row r="723" spans="2:4" x14ac:dyDescent="0.35">
      <c r="B723" s="6">
        <v>45911</v>
      </c>
      <c r="C723" s="9" t="s">
        <v>205</v>
      </c>
      <c r="D723">
        <v>12</v>
      </c>
    </row>
    <row r="724" spans="2:4" x14ac:dyDescent="0.35">
      <c r="B724" s="6">
        <v>45911</v>
      </c>
      <c r="C724" s="9" t="s">
        <v>183</v>
      </c>
      <c r="D724">
        <v>2</v>
      </c>
    </row>
    <row r="725" spans="2:4" x14ac:dyDescent="0.35">
      <c r="B725" s="6">
        <v>45911</v>
      </c>
      <c r="C725" s="9" t="s">
        <v>211</v>
      </c>
      <c r="D725">
        <v>1</v>
      </c>
    </row>
    <row r="726" spans="2:4" x14ac:dyDescent="0.35">
      <c r="B726" s="6">
        <v>45911</v>
      </c>
      <c r="C726" s="9" t="s">
        <v>212</v>
      </c>
      <c r="D726">
        <v>4</v>
      </c>
    </row>
    <row r="727" spans="2:4" x14ac:dyDescent="0.35">
      <c r="B727" s="6">
        <v>45911</v>
      </c>
      <c r="C727" s="9" t="s">
        <v>181</v>
      </c>
      <c r="D727">
        <v>2</v>
      </c>
    </row>
    <row r="728" spans="2:4" x14ac:dyDescent="0.35">
      <c r="B728" s="6">
        <v>45911</v>
      </c>
      <c r="C728" s="9" t="s">
        <v>187</v>
      </c>
      <c r="D728">
        <v>1</v>
      </c>
    </row>
    <row r="729" spans="2:4" x14ac:dyDescent="0.35">
      <c r="B729" s="6">
        <v>45911</v>
      </c>
      <c r="C729" s="9" t="s">
        <v>168</v>
      </c>
      <c r="D729">
        <v>5</v>
      </c>
    </row>
    <row r="730" spans="2:4" x14ac:dyDescent="0.35">
      <c r="B730" s="6">
        <v>45912</v>
      </c>
      <c r="C730" s="9" t="s">
        <v>169</v>
      </c>
      <c r="D730">
        <v>5</v>
      </c>
    </row>
    <row r="731" spans="2:4" x14ac:dyDescent="0.35">
      <c r="B731" s="6">
        <v>45912</v>
      </c>
      <c r="C731" s="9" t="s">
        <v>188</v>
      </c>
      <c r="D731">
        <v>1</v>
      </c>
    </row>
    <row r="732" spans="2:4" x14ac:dyDescent="0.35">
      <c r="B732" s="6">
        <v>45912</v>
      </c>
      <c r="C732" s="9" t="s">
        <v>184</v>
      </c>
      <c r="D732">
        <v>2</v>
      </c>
    </row>
    <row r="733" spans="2:4" x14ac:dyDescent="0.35">
      <c r="B733" s="6">
        <v>45912</v>
      </c>
      <c r="C733" s="9" t="s">
        <v>204</v>
      </c>
      <c r="D733">
        <v>1</v>
      </c>
    </row>
    <row r="734" spans="2:4" x14ac:dyDescent="0.35">
      <c r="B734" s="6">
        <v>45912</v>
      </c>
      <c r="C734" s="9" t="s">
        <v>187</v>
      </c>
      <c r="D734">
        <v>2</v>
      </c>
    </row>
    <row r="735" spans="2:4" x14ac:dyDescent="0.35">
      <c r="B735" s="6">
        <v>45912</v>
      </c>
      <c r="C735" s="9" t="s">
        <v>210</v>
      </c>
      <c r="D735">
        <v>4</v>
      </c>
    </row>
    <row r="736" spans="2:4" x14ac:dyDescent="0.35">
      <c r="B736" s="6">
        <v>45912</v>
      </c>
      <c r="C736" s="2" t="s">
        <v>93</v>
      </c>
      <c r="D736">
        <v>3</v>
      </c>
    </row>
    <row r="737" spans="2:4" x14ac:dyDescent="0.35">
      <c r="B737" s="6">
        <v>45912</v>
      </c>
      <c r="C737" s="2" t="s">
        <v>87</v>
      </c>
      <c r="D737">
        <v>1</v>
      </c>
    </row>
    <row r="738" spans="2:4" x14ac:dyDescent="0.35">
      <c r="B738" s="6">
        <v>45912</v>
      </c>
      <c r="C738" s="2" t="s">
        <v>35</v>
      </c>
      <c r="D738">
        <v>10</v>
      </c>
    </row>
    <row r="739" spans="2:4" x14ac:dyDescent="0.35">
      <c r="B739" s="6">
        <v>45912</v>
      </c>
      <c r="C739" s="9" t="s">
        <v>176</v>
      </c>
      <c r="D739">
        <v>2</v>
      </c>
    </row>
    <row r="740" spans="2:4" x14ac:dyDescent="0.35">
      <c r="B740" s="6">
        <v>45912</v>
      </c>
      <c r="C740" s="2" t="s">
        <v>89</v>
      </c>
      <c r="D740">
        <v>1</v>
      </c>
    </row>
    <row r="741" spans="2:4" x14ac:dyDescent="0.35">
      <c r="B741" s="6">
        <v>45912</v>
      </c>
      <c r="C741" s="9" t="s">
        <v>199</v>
      </c>
      <c r="D741">
        <v>2</v>
      </c>
    </row>
    <row r="742" spans="2:4" x14ac:dyDescent="0.35">
      <c r="B742" s="6">
        <v>45912</v>
      </c>
      <c r="C742" s="9" t="s">
        <v>194</v>
      </c>
      <c r="D742">
        <v>2</v>
      </c>
    </row>
    <row r="743" spans="2:4" x14ac:dyDescent="0.35">
      <c r="B743" s="6">
        <v>45912</v>
      </c>
      <c r="C743" s="9" t="s">
        <v>177</v>
      </c>
      <c r="D743">
        <v>2</v>
      </c>
    </row>
    <row r="744" spans="2:4" x14ac:dyDescent="0.35">
      <c r="B744" s="6">
        <v>45912</v>
      </c>
      <c r="C744" s="9" t="s">
        <v>209</v>
      </c>
      <c r="D744">
        <v>1</v>
      </c>
    </row>
    <row r="745" spans="2:4" x14ac:dyDescent="0.35">
      <c r="B745" s="6">
        <v>45912</v>
      </c>
      <c r="C745" s="9" t="s">
        <v>206</v>
      </c>
      <c r="D745">
        <v>2</v>
      </c>
    </row>
    <row r="746" spans="2:4" x14ac:dyDescent="0.35">
      <c r="B746" s="6">
        <v>45912</v>
      </c>
      <c r="C746" s="9" t="s">
        <v>215</v>
      </c>
      <c r="D746">
        <v>1</v>
      </c>
    </row>
    <row r="747" spans="2:4" x14ac:dyDescent="0.35">
      <c r="B747" s="6">
        <v>45912</v>
      </c>
      <c r="C747" s="9" t="s">
        <v>173</v>
      </c>
      <c r="D747">
        <v>1</v>
      </c>
    </row>
    <row r="748" spans="2:4" x14ac:dyDescent="0.35">
      <c r="B748" s="6">
        <v>45912</v>
      </c>
      <c r="C748" s="9" t="s">
        <v>130</v>
      </c>
      <c r="D748">
        <v>2</v>
      </c>
    </row>
    <row r="749" spans="2:4" x14ac:dyDescent="0.35">
      <c r="B749" s="6">
        <v>45912</v>
      </c>
      <c r="C749" s="9" t="s">
        <v>171</v>
      </c>
      <c r="D749">
        <v>1</v>
      </c>
    </row>
    <row r="750" spans="2:4" x14ac:dyDescent="0.35">
      <c r="B750" s="6">
        <v>45912</v>
      </c>
      <c r="C750" s="2" t="s">
        <v>15</v>
      </c>
      <c r="D750">
        <v>3</v>
      </c>
    </row>
    <row r="751" spans="2:4" x14ac:dyDescent="0.35">
      <c r="B751" s="6">
        <v>45912</v>
      </c>
      <c r="C751" s="9" t="s">
        <v>149</v>
      </c>
      <c r="D751">
        <v>2</v>
      </c>
    </row>
    <row r="752" spans="2:4" x14ac:dyDescent="0.35">
      <c r="B752" s="6">
        <v>45912</v>
      </c>
      <c r="C752" s="9" t="s">
        <v>129</v>
      </c>
      <c r="D752">
        <v>5</v>
      </c>
    </row>
    <row r="753" spans="2:4" x14ac:dyDescent="0.35">
      <c r="B753" s="6">
        <v>45912</v>
      </c>
      <c r="C753" s="9" t="s">
        <v>193</v>
      </c>
      <c r="D753">
        <v>1</v>
      </c>
    </row>
    <row r="754" spans="2:4" x14ac:dyDescent="0.35">
      <c r="B754" s="6">
        <v>45912</v>
      </c>
      <c r="C754" s="1" t="s">
        <v>10</v>
      </c>
      <c r="D754">
        <v>2</v>
      </c>
    </row>
    <row r="755" spans="2:4" x14ac:dyDescent="0.35">
      <c r="B755" s="6">
        <v>45912</v>
      </c>
      <c r="C755" s="9" t="s">
        <v>166</v>
      </c>
      <c r="D755">
        <v>5</v>
      </c>
    </row>
    <row r="756" spans="2:4" x14ac:dyDescent="0.35">
      <c r="B756" s="6">
        <v>45912</v>
      </c>
      <c r="C756" s="9" t="s">
        <v>214</v>
      </c>
      <c r="D756">
        <v>2</v>
      </c>
    </row>
    <row r="757" spans="2:4" x14ac:dyDescent="0.35">
      <c r="B757" s="6">
        <v>45913</v>
      </c>
      <c r="C757" s="9" t="s">
        <v>207</v>
      </c>
      <c r="D757">
        <v>1</v>
      </c>
    </row>
    <row r="758" spans="2:4" x14ac:dyDescent="0.35">
      <c r="B758" s="6">
        <v>45913</v>
      </c>
      <c r="C758" s="2" t="s">
        <v>52</v>
      </c>
      <c r="D758">
        <v>2</v>
      </c>
    </row>
    <row r="759" spans="2:4" x14ac:dyDescent="0.35">
      <c r="B759" s="6">
        <v>45913</v>
      </c>
      <c r="C759" s="2" t="s">
        <v>50</v>
      </c>
      <c r="D759">
        <v>2</v>
      </c>
    </row>
    <row r="760" spans="2:4" x14ac:dyDescent="0.35">
      <c r="B760" s="6">
        <v>45913</v>
      </c>
      <c r="C760" s="11" t="s">
        <v>217</v>
      </c>
      <c r="D760">
        <v>1</v>
      </c>
    </row>
    <row r="761" spans="2:4" x14ac:dyDescent="0.35">
      <c r="B761" s="6">
        <v>45913</v>
      </c>
      <c r="C761" s="9" t="s">
        <v>131</v>
      </c>
      <c r="D761">
        <v>2</v>
      </c>
    </row>
    <row r="762" spans="2:4" x14ac:dyDescent="0.35">
      <c r="B762" s="6">
        <v>45913</v>
      </c>
      <c r="C762" s="9" t="s">
        <v>208</v>
      </c>
      <c r="D762">
        <v>3</v>
      </c>
    </row>
    <row r="763" spans="2:4" x14ac:dyDescent="0.35">
      <c r="B763" s="6">
        <v>45913</v>
      </c>
      <c r="C763" s="9" t="s">
        <v>213</v>
      </c>
      <c r="D763">
        <v>1</v>
      </c>
    </row>
    <row r="764" spans="2:4" x14ac:dyDescent="0.35">
      <c r="B764" s="6">
        <v>45913</v>
      </c>
      <c r="C764" s="2" t="s">
        <v>70</v>
      </c>
      <c r="D764">
        <v>10</v>
      </c>
    </row>
    <row r="765" spans="2:4" x14ac:dyDescent="0.35">
      <c r="B765" s="6">
        <v>45913</v>
      </c>
      <c r="C765" s="2" t="s">
        <v>75</v>
      </c>
      <c r="D765">
        <v>10</v>
      </c>
    </row>
    <row r="766" spans="2:4" x14ac:dyDescent="0.35">
      <c r="B766" s="6">
        <v>45913</v>
      </c>
      <c r="C766" s="9" t="s">
        <v>216</v>
      </c>
      <c r="D766">
        <v>1</v>
      </c>
    </row>
    <row r="767" spans="2:4" x14ac:dyDescent="0.35">
      <c r="B767" s="6">
        <v>45913</v>
      </c>
      <c r="C767" s="9" t="s">
        <v>148</v>
      </c>
      <c r="D767">
        <v>2</v>
      </c>
    </row>
    <row r="768" spans="2:4" x14ac:dyDescent="0.35">
      <c r="B768" s="6">
        <v>45913</v>
      </c>
      <c r="C768" s="9" t="s">
        <v>154</v>
      </c>
      <c r="D768">
        <v>2</v>
      </c>
    </row>
    <row r="769" spans="2:4" x14ac:dyDescent="0.35">
      <c r="B769" s="6">
        <v>45913</v>
      </c>
      <c r="C769" s="9" t="s">
        <v>196</v>
      </c>
      <c r="D769">
        <v>1</v>
      </c>
    </row>
    <row r="770" spans="2:4" x14ac:dyDescent="0.35">
      <c r="B770" s="6">
        <v>45913</v>
      </c>
      <c r="C770" s="9" t="s">
        <v>118</v>
      </c>
      <c r="D770">
        <v>3</v>
      </c>
    </row>
    <row r="771" spans="2:4" x14ac:dyDescent="0.35">
      <c r="B771" s="6">
        <v>45913</v>
      </c>
      <c r="C771" s="9" t="s">
        <v>155</v>
      </c>
      <c r="D771">
        <v>1</v>
      </c>
    </row>
    <row r="772" spans="2:4" x14ac:dyDescent="0.35">
      <c r="B772" s="6">
        <v>45913</v>
      </c>
      <c r="C772" s="9" t="s">
        <v>153</v>
      </c>
      <c r="D772">
        <v>1</v>
      </c>
    </row>
    <row r="773" spans="2:4" x14ac:dyDescent="0.35">
      <c r="B773" s="6">
        <v>45913</v>
      </c>
      <c r="C773" s="9" t="s">
        <v>200</v>
      </c>
      <c r="D773">
        <v>1</v>
      </c>
    </row>
    <row r="774" spans="2:4" x14ac:dyDescent="0.35">
      <c r="B774" s="6">
        <v>45913</v>
      </c>
      <c r="C774" s="9" t="s">
        <v>119</v>
      </c>
      <c r="D774">
        <v>2</v>
      </c>
    </row>
    <row r="775" spans="2:4" x14ac:dyDescent="0.35">
      <c r="B775" s="6">
        <v>45913</v>
      </c>
      <c r="C775" s="9" t="s">
        <v>195</v>
      </c>
      <c r="D775">
        <v>5</v>
      </c>
    </row>
    <row r="776" spans="2:4" x14ac:dyDescent="0.35">
      <c r="B776" s="6">
        <v>45913</v>
      </c>
      <c r="C776" s="9" t="s">
        <v>165</v>
      </c>
      <c r="D776">
        <v>3</v>
      </c>
    </row>
    <row r="777" spans="2:4" x14ac:dyDescent="0.35">
      <c r="B777" s="6">
        <v>45913</v>
      </c>
      <c r="C777" s="9" t="s">
        <v>125</v>
      </c>
      <c r="D777">
        <v>1</v>
      </c>
    </row>
    <row r="778" spans="2:4" x14ac:dyDescent="0.35">
      <c r="B778" s="6">
        <v>45913</v>
      </c>
      <c r="C778" s="2" t="s">
        <v>84</v>
      </c>
      <c r="D778">
        <v>1</v>
      </c>
    </row>
    <row r="779" spans="2:4" x14ac:dyDescent="0.35">
      <c r="B779" s="6">
        <v>45913</v>
      </c>
      <c r="C779" s="2" t="s">
        <v>43</v>
      </c>
      <c r="D779">
        <v>2</v>
      </c>
    </row>
    <row r="780" spans="2:4" x14ac:dyDescent="0.35">
      <c r="B780" s="6">
        <v>45913</v>
      </c>
      <c r="C780" s="2" t="s">
        <v>44</v>
      </c>
      <c r="D780">
        <v>2</v>
      </c>
    </row>
    <row r="781" spans="2:4" x14ac:dyDescent="0.35">
      <c r="B781" s="6">
        <v>45915</v>
      </c>
      <c r="C781" s="1" t="s">
        <v>7</v>
      </c>
      <c r="D781">
        <v>2</v>
      </c>
    </row>
    <row r="782" spans="2:4" x14ac:dyDescent="0.35">
      <c r="B782" s="6">
        <v>45915</v>
      </c>
      <c r="C782" s="2" t="s">
        <v>53</v>
      </c>
      <c r="D782">
        <v>3</v>
      </c>
    </row>
    <row r="783" spans="2:4" x14ac:dyDescent="0.35">
      <c r="B783" s="6">
        <v>45915</v>
      </c>
      <c r="C783" s="2" t="s">
        <v>65</v>
      </c>
      <c r="D783">
        <v>2</v>
      </c>
    </row>
    <row r="784" spans="2:4" x14ac:dyDescent="0.35">
      <c r="B784" s="6">
        <v>45915</v>
      </c>
      <c r="C784" s="2" t="s">
        <v>69</v>
      </c>
      <c r="D784">
        <v>2</v>
      </c>
    </row>
    <row r="785" spans="2:4" x14ac:dyDescent="0.35">
      <c r="B785" s="6">
        <v>45915</v>
      </c>
      <c r="C785" s="2" t="s">
        <v>14</v>
      </c>
      <c r="D785">
        <v>1</v>
      </c>
    </row>
    <row r="786" spans="2:4" x14ac:dyDescent="0.35">
      <c r="B786" s="6">
        <v>45915</v>
      </c>
      <c r="C786" s="2" t="s">
        <v>62</v>
      </c>
      <c r="D786">
        <v>2</v>
      </c>
    </row>
    <row r="787" spans="2:4" x14ac:dyDescent="0.35">
      <c r="B787" s="6">
        <v>45915</v>
      </c>
      <c r="C787" s="2" t="s">
        <v>61</v>
      </c>
      <c r="D787">
        <v>3</v>
      </c>
    </row>
    <row r="788" spans="2:4" x14ac:dyDescent="0.35">
      <c r="B788" s="6">
        <v>45915</v>
      </c>
      <c r="C788" s="9" t="s">
        <v>207</v>
      </c>
      <c r="D788">
        <v>2</v>
      </c>
    </row>
    <row r="789" spans="2:4" x14ac:dyDescent="0.35">
      <c r="B789" s="6">
        <v>45915</v>
      </c>
      <c r="C789" s="9" t="s">
        <v>172</v>
      </c>
      <c r="D789">
        <v>4</v>
      </c>
    </row>
    <row r="790" spans="2:4" x14ac:dyDescent="0.35">
      <c r="B790" s="6">
        <v>45915</v>
      </c>
      <c r="C790" s="9" t="s">
        <v>135</v>
      </c>
      <c r="D790">
        <v>1</v>
      </c>
    </row>
    <row r="791" spans="2:4" x14ac:dyDescent="0.35">
      <c r="B791" s="6">
        <v>45915</v>
      </c>
      <c r="C791" s="2" t="s">
        <v>56</v>
      </c>
      <c r="D791">
        <v>2</v>
      </c>
    </row>
    <row r="792" spans="2:4" x14ac:dyDescent="0.35">
      <c r="B792" s="6">
        <v>45915</v>
      </c>
      <c r="C792" s="2" t="s">
        <v>60</v>
      </c>
      <c r="D792">
        <v>2</v>
      </c>
    </row>
    <row r="793" spans="2:4" x14ac:dyDescent="0.35">
      <c r="B793" s="6">
        <v>45915</v>
      </c>
      <c r="C793" s="9" t="s">
        <v>176</v>
      </c>
      <c r="D793">
        <v>1</v>
      </c>
    </row>
    <row r="794" spans="2:4" x14ac:dyDescent="0.35">
      <c r="B794" s="6">
        <v>45915</v>
      </c>
      <c r="C794" s="2" t="s">
        <v>78</v>
      </c>
      <c r="D794">
        <v>1</v>
      </c>
    </row>
    <row r="795" spans="2:4" x14ac:dyDescent="0.35">
      <c r="B795" s="6">
        <v>45915</v>
      </c>
      <c r="C795" s="2" t="s">
        <v>36</v>
      </c>
      <c r="D795">
        <v>4</v>
      </c>
    </row>
    <row r="796" spans="2:4" x14ac:dyDescent="0.35">
      <c r="B796" s="6">
        <v>45915</v>
      </c>
      <c r="C796" s="9" t="s">
        <v>199</v>
      </c>
      <c r="D796">
        <v>1</v>
      </c>
    </row>
    <row r="797" spans="2:4" x14ac:dyDescent="0.35">
      <c r="B797" s="6">
        <v>45915</v>
      </c>
      <c r="C797" s="2" t="s">
        <v>19</v>
      </c>
      <c r="D797">
        <v>1</v>
      </c>
    </row>
    <row r="798" spans="2:4" x14ac:dyDescent="0.35">
      <c r="B798" s="6">
        <v>45915</v>
      </c>
      <c r="C798" s="2" t="s">
        <v>30</v>
      </c>
      <c r="D798">
        <v>1</v>
      </c>
    </row>
    <row r="799" spans="2:4" x14ac:dyDescent="0.35">
      <c r="B799" s="6">
        <v>45915</v>
      </c>
      <c r="C799" s="2" t="s">
        <v>93</v>
      </c>
      <c r="D799">
        <v>1</v>
      </c>
    </row>
    <row r="800" spans="2:4" x14ac:dyDescent="0.35">
      <c r="B800" s="6">
        <v>45915</v>
      </c>
      <c r="C800" s="9" t="s">
        <v>167</v>
      </c>
      <c r="D800">
        <v>5</v>
      </c>
    </row>
    <row r="801" spans="2:4" x14ac:dyDescent="0.35">
      <c r="B801" s="6">
        <v>45915</v>
      </c>
      <c r="C801" s="9" t="s">
        <v>161</v>
      </c>
      <c r="D801">
        <v>1</v>
      </c>
    </row>
    <row r="802" spans="2:4" x14ac:dyDescent="0.35">
      <c r="B802" s="6">
        <v>45915</v>
      </c>
      <c r="C802" s="9" t="s">
        <v>205</v>
      </c>
      <c r="D802">
        <v>1</v>
      </c>
    </row>
    <row r="803" spans="2:4" x14ac:dyDescent="0.35">
      <c r="B803" s="6">
        <v>45915</v>
      </c>
      <c r="C803" s="2" t="s">
        <v>25</v>
      </c>
      <c r="D803">
        <v>1</v>
      </c>
    </row>
    <row r="804" spans="2:4" x14ac:dyDescent="0.35">
      <c r="B804" s="6">
        <v>45915</v>
      </c>
      <c r="C804" s="2" t="s">
        <v>81</v>
      </c>
      <c r="D804">
        <v>1</v>
      </c>
    </row>
    <row r="805" spans="2:4" x14ac:dyDescent="0.35">
      <c r="B805" s="6">
        <v>45916</v>
      </c>
      <c r="C805" s="2" t="s">
        <v>65</v>
      </c>
      <c r="D805">
        <v>2</v>
      </c>
    </row>
    <row r="806" spans="2:4" x14ac:dyDescent="0.35">
      <c r="B806" s="6">
        <v>45916</v>
      </c>
      <c r="C806" s="9" t="s">
        <v>163</v>
      </c>
      <c r="D806">
        <v>2</v>
      </c>
    </row>
    <row r="807" spans="2:4" x14ac:dyDescent="0.35">
      <c r="B807" s="6">
        <v>45916</v>
      </c>
      <c r="C807" s="2" t="s">
        <v>73</v>
      </c>
      <c r="D807">
        <v>1</v>
      </c>
    </row>
    <row r="808" spans="2:4" x14ac:dyDescent="0.35">
      <c r="B808" s="6">
        <v>45916</v>
      </c>
      <c r="C808" s="11" t="s">
        <v>217</v>
      </c>
      <c r="D808">
        <v>1</v>
      </c>
    </row>
    <row r="809" spans="2:4" x14ac:dyDescent="0.35">
      <c r="B809" s="6">
        <v>45916</v>
      </c>
      <c r="C809" s="2" t="s">
        <v>67</v>
      </c>
      <c r="D809">
        <v>2</v>
      </c>
    </row>
    <row r="810" spans="2:4" x14ac:dyDescent="0.35">
      <c r="B810" s="6">
        <v>45916</v>
      </c>
      <c r="C810" s="11" t="s">
        <v>217</v>
      </c>
      <c r="D810">
        <v>2</v>
      </c>
    </row>
    <row r="811" spans="2:4" x14ac:dyDescent="0.35">
      <c r="B811" s="6">
        <v>45916</v>
      </c>
      <c r="C811" s="9" t="s">
        <v>161</v>
      </c>
      <c r="D811">
        <v>2</v>
      </c>
    </row>
    <row r="812" spans="2:4" x14ac:dyDescent="0.35">
      <c r="B812" s="6">
        <v>45916</v>
      </c>
      <c r="C812" s="9" t="s">
        <v>124</v>
      </c>
      <c r="D812">
        <v>1</v>
      </c>
    </row>
    <row r="813" spans="2:4" x14ac:dyDescent="0.35">
      <c r="B813" s="6">
        <v>45916</v>
      </c>
      <c r="C813" s="9" t="s">
        <v>123</v>
      </c>
      <c r="D813">
        <v>3</v>
      </c>
    </row>
    <row r="814" spans="2:4" x14ac:dyDescent="0.35">
      <c r="B814" s="6">
        <v>45916</v>
      </c>
      <c r="C814" s="9" t="s">
        <v>151</v>
      </c>
      <c r="D814">
        <v>1</v>
      </c>
    </row>
    <row r="815" spans="2:4" x14ac:dyDescent="0.35">
      <c r="B815" s="6">
        <v>45916</v>
      </c>
      <c r="C815" s="2" t="s">
        <v>73</v>
      </c>
      <c r="D815">
        <v>12</v>
      </c>
    </row>
    <row r="816" spans="2:4" x14ac:dyDescent="0.35">
      <c r="B816" s="6">
        <v>45916</v>
      </c>
      <c r="C816" s="9" t="s">
        <v>216</v>
      </c>
      <c r="D816">
        <v>1</v>
      </c>
    </row>
    <row r="817" spans="2:4" x14ac:dyDescent="0.35">
      <c r="B817" s="6">
        <v>45916</v>
      </c>
      <c r="C817" s="2" t="s">
        <v>75</v>
      </c>
      <c r="D817">
        <v>10</v>
      </c>
    </row>
    <row r="818" spans="2:4" x14ac:dyDescent="0.35">
      <c r="B818" s="6">
        <v>45916</v>
      </c>
      <c r="C818" s="9" t="s">
        <v>218</v>
      </c>
      <c r="D818">
        <v>2</v>
      </c>
    </row>
    <row r="819" spans="2:4" x14ac:dyDescent="0.35">
      <c r="B819" s="6">
        <v>45916</v>
      </c>
      <c r="C819" s="2" t="s">
        <v>77</v>
      </c>
      <c r="D819">
        <v>5</v>
      </c>
    </row>
    <row r="820" spans="2:4" x14ac:dyDescent="0.35">
      <c r="B820" s="6">
        <v>45916</v>
      </c>
      <c r="C820" s="2" t="s">
        <v>34</v>
      </c>
      <c r="D820">
        <v>2</v>
      </c>
    </row>
    <row r="821" spans="2:4" x14ac:dyDescent="0.35">
      <c r="B821" s="6">
        <v>45916</v>
      </c>
      <c r="C821" s="2" t="s">
        <v>33</v>
      </c>
      <c r="D821">
        <v>2</v>
      </c>
    </row>
    <row r="822" spans="2:4" x14ac:dyDescent="0.35">
      <c r="B822" s="6">
        <v>45916</v>
      </c>
      <c r="C822" s="2" t="s">
        <v>79</v>
      </c>
      <c r="D822">
        <v>1</v>
      </c>
    </row>
    <row r="823" spans="2:4" x14ac:dyDescent="0.35">
      <c r="B823" s="6">
        <v>45916</v>
      </c>
      <c r="C823" s="9" t="s">
        <v>143</v>
      </c>
      <c r="D823">
        <v>1</v>
      </c>
    </row>
    <row r="824" spans="2:4" x14ac:dyDescent="0.35">
      <c r="B824" s="6">
        <v>45916</v>
      </c>
      <c r="C824" s="9" t="s">
        <v>188</v>
      </c>
      <c r="D824">
        <v>1</v>
      </c>
    </row>
    <row r="825" spans="2:4" x14ac:dyDescent="0.35">
      <c r="B825" s="6">
        <v>45916</v>
      </c>
      <c r="C825" s="9" t="s">
        <v>185</v>
      </c>
      <c r="D825">
        <v>2</v>
      </c>
    </row>
    <row r="826" spans="2:4" x14ac:dyDescent="0.35">
      <c r="B826" s="6">
        <v>45916</v>
      </c>
      <c r="C826" s="2" t="s">
        <v>68</v>
      </c>
      <c r="D826">
        <v>1</v>
      </c>
    </row>
    <row r="827" spans="2:4" x14ac:dyDescent="0.35">
      <c r="B827" s="6">
        <v>45916</v>
      </c>
      <c r="C827" s="2" t="s">
        <v>66</v>
      </c>
      <c r="D827">
        <v>2</v>
      </c>
    </row>
    <row r="828" spans="2:4" x14ac:dyDescent="0.35">
      <c r="B828" s="6">
        <v>45916</v>
      </c>
      <c r="C828" s="1" t="s">
        <v>8</v>
      </c>
      <c r="D828">
        <v>1</v>
      </c>
    </row>
    <row r="829" spans="2:4" x14ac:dyDescent="0.35">
      <c r="B829" s="6">
        <v>45917</v>
      </c>
      <c r="C829" s="9" t="s">
        <v>147</v>
      </c>
      <c r="D829">
        <v>1</v>
      </c>
    </row>
    <row r="830" spans="2:4" x14ac:dyDescent="0.35">
      <c r="B830" s="6">
        <v>45917</v>
      </c>
      <c r="C830" s="2" t="s">
        <v>26</v>
      </c>
      <c r="D830">
        <v>1</v>
      </c>
    </row>
    <row r="831" spans="2:4" x14ac:dyDescent="0.35">
      <c r="B831" s="6">
        <v>45917</v>
      </c>
      <c r="C831" s="2" t="s">
        <v>60</v>
      </c>
      <c r="D831">
        <v>2</v>
      </c>
    </row>
    <row r="832" spans="2:4" x14ac:dyDescent="0.35">
      <c r="B832" s="6">
        <v>45917</v>
      </c>
      <c r="C832" s="2" t="s">
        <v>55</v>
      </c>
      <c r="D832">
        <v>2</v>
      </c>
    </row>
    <row r="833" spans="2:4" x14ac:dyDescent="0.35">
      <c r="B833" s="6">
        <v>45917</v>
      </c>
      <c r="C833" s="2" t="s">
        <v>56</v>
      </c>
      <c r="D833">
        <v>2</v>
      </c>
    </row>
    <row r="834" spans="2:4" x14ac:dyDescent="0.35">
      <c r="B834" s="6">
        <v>45917</v>
      </c>
      <c r="C834" s="9" t="s">
        <v>175</v>
      </c>
      <c r="D834">
        <v>1</v>
      </c>
    </row>
    <row r="835" spans="2:4" x14ac:dyDescent="0.35">
      <c r="B835" s="6">
        <v>45917</v>
      </c>
      <c r="C835" s="9" t="s">
        <v>131</v>
      </c>
      <c r="D835">
        <v>3</v>
      </c>
    </row>
    <row r="836" spans="2:4" x14ac:dyDescent="0.35">
      <c r="B836" s="6">
        <v>45917</v>
      </c>
      <c r="C836" s="9" t="s">
        <v>126</v>
      </c>
      <c r="D836">
        <v>1</v>
      </c>
    </row>
    <row r="837" spans="2:4" x14ac:dyDescent="0.35">
      <c r="B837" s="6">
        <v>45917</v>
      </c>
      <c r="C837" s="9" t="s">
        <v>178</v>
      </c>
      <c r="D837">
        <v>1</v>
      </c>
    </row>
    <row r="838" spans="2:4" x14ac:dyDescent="0.35">
      <c r="B838" s="6">
        <v>45917</v>
      </c>
      <c r="C838" s="9" t="s">
        <v>142</v>
      </c>
      <c r="D838">
        <v>2</v>
      </c>
    </row>
    <row r="839" spans="2:4" x14ac:dyDescent="0.35">
      <c r="B839" s="6">
        <v>45917</v>
      </c>
      <c r="C839" s="9" t="s">
        <v>144</v>
      </c>
      <c r="D839">
        <v>2</v>
      </c>
    </row>
    <row r="840" spans="2:4" x14ac:dyDescent="0.35">
      <c r="B840" s="6">
        <v>45917</v>
      </c>
      <c r="C840" s="2" t="s">
        <v>31</v>
      </c>
      <c r="D840">
        <v>1</v>
      </c>
    </row>
    <row r="841" spans="2:4" x14ac:dyDescent="0.35">
      <c r="B841" s="6">
        <v>45917</v>
      </c>
      <c r="C841" s="2" t="s">
        <v>21</v>
      </c>
      <c r="D841">
        <v>1</v>
      </c>
    </row>
    <row r="842" spans="2:4" x14ac:dyDescent="0.35">
      <c r="B842" s="6">
        <v>45917</v>
      </c>
      <c r="C842" s="2" t="s">
        <v>22</v>
      </c>
      <c r="D842">
        <v>2</v>
      </c>
    </row>
    <row r="843" spans="2:4" x14ac:dyDescent="0.35">
      <c r="B843" s="6">
        <v>45917</v>
      </c>
      <c r="C843" s="2" t="s">
        <v>106</v>
      </c>
      <c r="D843">
        <v>2</v>
      </c>
    </row>
    <row r="844" spans="2:4" x14ac:dyDescent="0.35">
      <c r="B844" s="6">
        <v>45917</v>
      </c>
      <c r="C844" s="2" t="s">
        <v>46</v>
      </c>
      <c r="D844">
        <v>2</v>
      </c>
    </row>
    <row r="845" spans="2:4" x14ac:dyDescent="0.35">
      <c r="B845" s="6">
        <v>45917</v>
      </c>
      <c r="C845" s="2" t="s">
        <v>74</v>
      </c>
      <c r="D845">
        <v>5</v>
      </c>
    </row>
    <row r="846" spans="2:4" x14ac:dyDescent="0.35">
      <c r="B846" s="6">
        <v>45917</v>
      </c>
      <c r="C846" s="2" t="s">
        <v>71</v>
      </c>
      <c r="D846">
        <v>5</v>
      </c>
    </row>
    <row r="847" spans="2:4" x14ac:dyDescent="0.35">
      <c r="B847" s="6">
        <v>45917</v>
      </c>
      <c r="C847" s="2" t="s">
        <v>72</v>
      </c>
      <c r="D847">
        <v>10</v>
      </c>
    </row>
    <row r="848" spans="2:4" x14ac:dyDescent="0.35">
      <c r="B848" s="6">
        <v>45917</v>
      </c>
      <c r="C848" s="2" t="s">
        <v>76</v>
      </c>
      <c r="D848">
        <v>5</v>
      </c>
    </row>
    <row r="849" spans="2:4" x14ac:dyDescent="0.35">
      <c r="B849" s="6">
        <v>45917</v>
      </c>
      <c r="C849" s="9" t="s">
        <v>145</v>
      </c>
      <c r="D849">
        <v>1</v>
      </c>
    </row>
    <row r="850" spans="2:4" x14ac:dyDescent="0.35">
      <c r="B850" s="6">
        <v>45917</v>
      </c>
      <c r="C850" s="9" t="s">
        <v>203</v>
      </c>
      <c r="D850">
        <v>2</v>
      </c>
    </row>
    <row r="851" spans="2:4" x14ac:dyDescent="0.35">
      <c r="B851" s="6">
        <v>45917</v>
      </c>
      <c r="C851" s="9" t="s">
        <v>141</v>
      </c>
      <c r="D851">
        <v>1</v>
      </c>
    </row>
    <row r="852" spans="2:4" x14ac:dyDescent="0.35">
      <c r="B852" s="6">
        <v>45917</v>
      </c>
      <c r="C852" s="9" t="s">
        <v>190</v>
      </c>
      <c r="D852">
        <v>2</v>
      </c>
    </row>
    <row r="853" spans="2:4" x14ac:dyDescent="0.35">
      <c r="B853" s="6">
        <v>45917</v>
      </c>
      <c r="C853" s="9" t="s">
        <v>179</v>
      </c>
      <c r="D853">
        <v>1</v>
      </c>
    </row>
    <row r="854" spans="2:4" x14ac:dyDescent="0.35">
      <c r="B854" s="6">
        <v>45918</v>
      </c>
      <c r="C854" s="9" t="s">
        <v>186</v>
      </c>
      <c r="D854">
        <v>1</v>
      </c>
    </row>
    <row r="855" spans="2:4" x14ac:dyDescent="0.35">
      <c r="B855" s="6">
        <v>45918</v>
      </c>
      <c r="C855" s="9" t="s">
        <v>182</v>
      </c>
      <c r="D855">
        <v>2</v>
      </c>
    </row>
    <row r="856" spans="2:4" x14ac:dyDescent="0.35">
      <c r="B856" s="6">
        <v>45918</v>
      </c>
      <c r="C856" s="9" t="s">
        <v>205</v>
      </c>
      <c r="D856">
        <v>4</v>
      </c>
    </row>
    <row r="857" spans="2:4" x14ac:dyDescent="0.35">
      <c r="B857" s="6">
        <v>45918</v>
      </c>
      <c r="C857" s="9" t="s">
        <v>210</v>
      </c>
      <c r="D857">
        <v>2</v>
      </c>
    </row>
    <row r="858" spans="2:4" x14ac:dyDescent="0.35">
      <c r="B858" s="6">
        <v>45918</v>
      </c>
      <c r="C858" s="2" t="s">
        <v>74</v>
      </c>
      <c r="D858">
        <v>2</v>
      </c>
    </row>
    <row r="859" spans="2:4" x14ac:dyDescent="0.35">
      <c r="B859" s="6">
        <v>45918</v>
      </c>
      <c r="C859" s="2" t="s">
        <v>71</v>
      </c>
      <c r="D859">
        <v>4</v>
      </c>
    </row>
    <row r="860" spans="2:4" x14ac:dyDescent="0.35">
      <c r="B860" s="6">
        <v>45918</v>
      </c>
      <c r="C860" s="2" t="s">
        <v>72</v>
      </c>
      <c r="D860">
        <v>4</v>
      </c>
    </row>
    <row r="861" spans="2:4" x14ac:dyDescent="0.35">
      <c r="B861" s="6">
        <v>45918</v>
      </c>
      <c r="C861" s="2" t="s">
        <v>76</v>
      </c>
      <c r="D861">
        <v>2</v>
      </c>
    </row>
    <row r="862" spans="2:4" x14ac:dyDescent="0.35">
      <c r="B862" s="6">
        <v>45918</v>
      </c>
      <c r="C862" s="9" t="s">
        <v>168</v>
      </c>
      <c r="D862">
        <v>5</v>
      </c>
    </row>
    <row r="863" spans="2:4" x14ac:dyDescent="0.35">
      <c r="B863" s="6">
        <v>45918</v>
      </c>
      <c r="C863" s="9" t="s">
        <v>169</v>
      </c>
      <c r="D863">
        <v>5</v>
      </c>
    </row>
    <row r="864" spans="2:4" x14ac:dyDescent="0.35">
      <c r="B864" s="6">
        <v>45918</v>
      </c>
      <c r="C864" s="9" t="s">
        <v>167</v>
      </c>
      <c r="D864">
        <v>5</v>
      </c>
    </row>
    <row r="865" spans="2:4" x14ac:dyDescent="0.35">
      <c r="B865" s="6">
        <v>45918</v>
      </c>
      <c r="C865" s="9" t="s">
        <v>164</v>
      </c>
      <c r="D865">
        <v>2</v>
      </c>
    </row>
    <row r="866" spans="2:4" x14ac:dyDescent="0.35">
      <c r="B866" s="6">
        <v>45918</v>
      </c>
      <c r="C866" s="9" t="s">
        <v>159</v>
      </c>
      <c r="D866">
        <v>1</v>
      </c>
    </row>
    <row r="867" spans="2:4" x14ac:dyDescent="0.35">
      <c r="B867" s="6">
        <v>45918</v>
      </c>
      <c r="C867" s="9" t="s">
        <v>161</v>
      </c>
      <c r="D867">
        <v>1</v>
      </c>
    </row>
    <row r="868" spans="2:4" x14ac:dyDescent="0.35">
      <c r="B868" s="6">
        <v>45918</v>
      </c>
      <c r="C868" s="11" t="s">
        <v>217</v>
      </c>
      <c r="D868">
        <v>2</v>
      </c>
    </row>
    <row r="869" spans="2:4" x14ac:dyDescent="0.35">
      <c r="B869" s="6">
        <v>45918</v>
      </c>
      <c r="C869" s="9" t="s">
        <v>163</v>
      </c>
      <c r="D869">
        <v>6</v>
      </c>
    </row>
    <row r="870" spans="2:4" x14ac:dyDescent="0.35">
      <c r="B870" s="6">
        <v>45918</v>
      </c>
      <c r="C870" s="9" t="s">
        <v>166</v>
      </c>
      <c r="D870">
        <v>6</v>
      </c>
    </row>
    <row r="871" spans="2:4" x14ac:dyDescent="0.35">
      <c r="B871" s="6">
        <v>45918</v>
      </c>
      <c r="C871" s="9" t="s">
        <v>120</v>
      </c>
      <c r="D871">
        <v>1</v>
      </c>
    </row>
    <row r="872" spans="2:4" x14ac:dyDescent="0.35">
      <c r="B872" s="6">
        <v>45918</v>
      </c>
      <c r="C872" s="9" t="s">
        <v>152</v>
      </c>
      <c r="D872">
        <v>2</v>
      </c>
    </row>
    <row r="873" spans="2:4" x14ac:dyDescent="0.35">
      <c r="B873" s="6">
        <v>45918</v>
      </c>
      <c r="C873" s="9" t="s">
        <v>197</v>
      </c>
      <c r="D873">
        <v>2</v>
      </c>
    </row>
    <row r="874" spans="2:4" x14ac:dyDescent="0.35">
      <c r="B874" s="6">
        <v>45918</v>
      </c>
      <c r="C874" s="9" t="s">
        <v>156</v>
      </c>
      <c r="D874">
        <v>2</v>
      </c>
    </row>
    <row r="875" spans="2:4" x14ac:dyDescent="0.35">
      <c r="B875" s="6">
        <v>45918</v>
      </c>
      <c r="C875" s="2" t="s">
        <v>70</v>
      </c>
      <c r="D875">
        <v>4</v>
      </c>
    </row>
    <row r="876" spans="2:4" x14ac:dyDescent="0.35">
      <c r="B876" s="6">
        <v>45918</v>
      </c>
      <c r="C876" s="2" t="s">
        <v>75</v>
      </c>
      <c r="D876">
        <v>3</v>
      </c>
    </row>
    <row r="877" spans="2:4" x14ac:dyDescent="0.35">
      <c r="B877" s="6">
        <v>45918</v>
      </c>
      <c r="C877" s="2" t="s">
        <v>43</v>
      </c>
      <c r="D877">
        <v>3</v>
      </c>
    </row>
    <row r="878" spans="2:4" x14ac:dyDescent="0.35">
      <c r="B878" s="6">
        <v>45918</v>
      </c>
      <c r="C878" s="2" t="s">
        <v>44</v>
      </c>
      <c r="D878">
        <v>3</v>
      </c>
    </row>
    <row r="879" spans="2:4" x14ac:dyDescent="0.35">
      <c r="B879" s="6">
        <v>45919</v>
      </c>
      <c r="C879" s="2" t="s">
        <v>42</v>
      </c>
      <c r="D879">
        <v>3</v>
      </c>
    </row>
    <row r="880" spans="2:4" x14ac:dyDescent="0.35">
      <c r="B880" s="6">
        <v>45919</v>
      </c>
      <c r="C880" s="2" t="s">
        <v>41</v>
      </c>
      <c r="D880">
        <v>4</v>
      </c>
    </row>
    <row r="881" spans="2:4" x14ac:dyDescent="0.35">
      <c r="B881" s="6">
        <v>45919</v>
      </c>
      <c r="C881" s="2" t="s">
        <v>86</v>
      </c>
      <c r="D881">
        <v>5</v>
      </c>
    </row>
    <row r="882" spans="2:4" x14ac:dyDescent="0.35">
      <c r="B882" s="6">
        <v>45919</v>
      </c>
      <c r="C882" s="2" t="s">
        <v>85</v>
      </c>
      <c r="D882">
        <v>2</v>
      </c>
    </row>
    <row r="883" spans="2:4" x14ac:dyDescent="0.35">
      <c r="B883" s="6">
        <v>45919</v>
      </c>
      <c r="C883" s="9" t="s">
        <v>216</v>
      </c>
      <c r="D883">
        <v>2</v>
      </c>
    </row>
    <row r="884" spans="2:4" x14ac:dyDescent="0.35">
      <c r="B884" s="6">
        <v>45919</v>
      </c>
      <c r="C884" s="2" t="s">
        <v>51</v>
      </c>
      <c r="D884">
        <v>4</v>
      </c>
    </row>
    <row r="885" spans="2:4" x14ac:dyDescent="0.35">
      <c r="B885" s="6">
        <v>45919</v>
      </c>
      <c r="C885" s="2" t="s">
        <v>80</v>
      </c>
      <c r="D885">
        <v>1</v>
      </c>
    </row>
    <row r="886" spans="2:4" x14ac:dyDescent="0.35">
      <c r="B886" s="6">
        <v>45919</v>
      </c>
      <c r="C886" s="1" t="s">
        <v>8</v>
      </c>
      <c r="D886">
        <v>2</v>
      </c>
    </row>
    <row r="887" spans="2:4" x14ac:dyDescent="0.35">
      <c r="B887" s="6">
        <v>45919</v>
      </c>
      <c r="C887" s="2" t="s">
        <v>59</v>
      </c>
      <c r="D887">
        <v>2</v>
      </c>
    </row>
    <row r="888" spans="2:4" x14ac:dyDescent="0.35">
      <c r="B888" s="6">
        <v>45919</v>
      </c>
      <c r="C888" s="9" t="s">
        <v>190</v>
      </c>
      <c r="D888">
        <v>1</v>
      </c>
    </row>
    <row r="889" spans="2:4" x14ac:dyDescent="0.35">
      <c r="B889" s="6">
        <v>45919</v>
      </c>
      <c r="C889" s="9" t="s">
        <v>179</v>
      </c>
      <c r="D889">
        <v>1</v>
      </c>
    </row>
    <row r="890" spans="2:4" x14ac:dyDescent="0.35">
      <c r="B890" s="6">
        <v>45919</v>
      </c>
      <c r="C890" s="9" t="s">
        <v>204</v>
      </c>
      <c r="D890">
        <v>2</v>
      </c>
    </row>
    <row r="891" spans="2:4" x14ac:dyDescent="0.35">
      <c r="B891" s="6">
        <v>45919</v>
      </c>
      <c r="C891" s="11" t="s">
        <v>217</v>
      </c>
      <c r="D891">
        <v>2</v>
      </c>
    </row>
    <row r="892" spans="2:4" x14ac:dyDescent="0.35">
      <c r="B892" s="6">
        <v>45919</v>
      </c>
      <c r="C892" s="9" t="s">
        <v>198</v>
      </c>
      <c r="D892">
        <v>1</v>
      </c>
    </row>
    <row r="893" spans="2:4" x14ac:dyDescent="0.35">
      <c r="B893" s="6">
        <v>45919</v>
      </c>
      <c r="C893" s="2" t="s">
        <v>27</v>
      </c>
      <c r="D893">
        <v>3</v>
      </c>
    </row>
    <row r="894" spans="2:4" x14ac:dyDescent="0.35">
      <c r="B894" s="6">
        <v>45919</v>
      </c>
      <c r="C894" s="2" t="s">
        <v>20</v>
      </c>
      <c r="D894">
        <v>3</v>
      </c>
    </row>
    <row r="895" spans="2:4" x14ac:dyDescent="0.35">
      <c r="B895" s="6">
        <v>45919</v>
      </c>
      <c r="C895" s="2" t="s">
        <v>82</v>
      </c>
      <c r="D895">
        <v>2</v>
      </c>
    </row>
    <row r="896" spans="2:4" x14ac:dyDescent="0.35">
      <c r="B896" s="6">
        <v>45919</v>
      </c>
      <c r="C896" s="2" t="s">
        <v>57</v>
      </c>
      <c r="D896">
        <v>3</v>
      </c>
    </row>
    <row r="897" spans="2:4" x14ac:dyDescent="0.35">
      <c r="B897" s="6">
        <v>45919</v>
      </c>
      <c r="C897" s="11" t="s">
        <v>217</v>
      </c>
      <c r="D897">
        <v>2</v>
      </c>
    </row>
    <row r="898" spans="2:4" x14ac:dyDescent="0.35">
      <c r="B898" s="6">
        <v>45919</v>
      </c>
      <c r="C898" s="9" t="s">
        <v>175</v>
      </c>
      <c r="D898">
        <v>1</v>
      </c>
    </row>
    <row r="899" spans="2:4" x14ac:dyDescent="0.35">
      <c r="B899" s="6">
        <v>45919</v>
      </c>
      <c r="C899" s="9" t="s">
        <v>199</v>
      </c>
      <c r="D899">
        <v>1</v>
      </c>
    </row>
    <row r="900" spans="2:4" x14ac:dyDescent="0.35">
      <c r="B900" s="6">
        <v>45919</v>
      </c>
      <c r="C900" s="9" t="s">
        <v>194</v>
      </c>
      <c r="D900">
        <v>2</v>
      </c>
    </row>
    <row r="901" spans="2:4" x14ac:dyDescent="0.35">
      <c r="B901" s="6">
        <v>45919</v>
      </c>
      <c r="C901" s="9" t="s">
        <v>177</v>
      </c>
      <c r="D901">
        <v>1</v>
      </c>
    </row>
    <row r="902" spans="2:4" x14ac:dyDescent="0.35">
      <c r="B902" s="6">
        <v>45919</v>
      </c>
      <c r="C902" s="9" t="s">
        <v>174</v>
      </c>
      <c r="D902">
        <v>2</v>
      </c>
    </row>
    <row r="903" spans="2:4" x14ac:dyDescent="0.35">
      <c r="B903" s="6">
        <v>45920</v>
      </c>
      <c r="C903" s="2" t="s">
        <v>12</v>
      </c>
      <c r="D903">
        <v>1</v>
      </c>
    </row>
    <row r="904" spans="2:4" x14ac:dyDescent="0.35">
      <c r="B904" s="6">
        <v>45920</v>
      </c>
      <c r="C904" s="1" t="s">
        <v>11</v>
      </c>
      <c r="D904">
        <v>1</v>
      </c>
    </row>
    <row r="905" spans="2:4" x14ac:dyDescent="0.35">
      <c r="B905" s="6">
        <v>45920</v>
      </c>
      <c r="C905" s="1" t="s">
        <v>9</v>
      </c>
      <c r="D905">
        <v>2</v>
      </c>
    </row>
    <row r="906" spans="2:4" x14ac:dyDescent="0.35">
      <c r="B906" s="6">
        <v>45920</v>
      </c>
      <c r="C906" s="2" t="s">
        <v>63</v>
      </c>
      <c r="D906">
        <v>3</v>
      </c>
    </row>
    <row r="907" spans="2:4" x14ac:dyDescent="0.35">
      <c r="B907" s="6">
        <v>45920</v>
      </c>
      <c r="C907" s="11" t="s">
        <v>217</v>
      </c>
      <c r="D907">
        <v>1</v>
      </c>
    </row>
    <row r="908" spans="2:4" x14ac:dyDescent="0.35">
      <c r="B908" s="6">
        <v>45920</v>
      </c>
      <c r="C908" s="2" t="s">
        <v>18</v>
      </c>
      <c r="D908">
        <v>2</v>
      </c>
    </row>
    <row r="909" spans="2:4" x14ac:dyDescent="0.35">
      <c r="B909" s="6">
        <v>45920</v>
      </c>
      <c r="C909" s="2" t="s">
        <v>35</v>
      </c>
      <c r="D909">
        <v>5</v>
      </c>
    </row>
    <row r="910" spans="2:4" x14ac:dyDescent="0.35">
      <c r="B910" s="6">
        <v>45920</v>
      </c>
      <c r="C910" s="2" t="s">
        <v>37</v>
      </c>
      <c r="D910">
        <v>5</v>
      </c>
    </row>
    <row r="911" spans="2:4" x14ac:dyDescent="0.35">
      <c r="B911" s="6">
        <v>45920</v>
      </c>
      <c r="C911" s="2" t="s">
        <v>36</v>
      </c>
      <c r="D911">
        <v>5</v>
      </c>
    </row>
    <row r="912" spans="2:4" x14ac:dyDescent="0.35">
      <c r="B912" s="6">
        <v>45920</v>
      </c>
      <c r="C912" s="2" t="s">
        <v>24</v>
      </c>
      <c r="D912">
        <v>2</v>
      </c>
    </row>
    <row r="913" spans="2:4" x14ac:dyDescent="0.35">
      <c r="B913" s="6">
        <v>45920</v>
      </c>
      <c r="C913" s="2" t="s">
        <v>17</v>
      </c>
      <c r="D913">
        <v>2</v>
      </c>
    </row>
    <row r="914" spans="2:4" x14ac:dyDescent="0.35">
      <c r="B914" s="6">
        <v>45920</v>
      </c>
      <c r="C914" s="2" t="s">
        <v>16</v>
      </c>
      <c r="D914">
        <v>2</v>
      </c>
    </row>
    <row r="915" spans="2:4" x14ac:dyDescent="0.35">
      <c r="B915" s="6">
        <v>45920</v>
      </c>
      <c r="C915" s="9" t="s">
        <v>136</v>
      </c>
      <c r="D915">
        <v>2</v>
      </c>
    </row>
    <row r="916" spans="2:4" x14ac:dyDescent="0.35">
      <c r="B916" s="6">
        <v>45920</v>
      </c>
      <c r="C916" s="2" t="s">
        <v>49</v>
      </c>
      <c r="D916">
        <v>3</v>
      </c>
    </row>
    <row r="917" spans="2:4" x14ac:dyDescent="0.35">
      <c r="B917" s="6">
        <v>45920</v>
      </c>
      <c r="C917" s="2" t="s">
        <v>47</v>
      </c>
      <c r="D917">
        <v>3</v>
      </c>
    </row>
    <row r="918" spans="2:4" x14ac:dyDescent="0.35">
      <c r="B918" s="6">
        <v>45920</v>
      </c>
      <c r="C918" s="2" t="s">
        <v>48</v>
      </c>
      <c r="D918">
        <v>4</v>
      </c>
    </row>
    <row r="919" spans="2:4" x14ac:dyDescent="0.35">
      <c r="B919" s="6">
        <v>45920</v>
      </c>
      <c r="C919" s="2" t="s">
        <v>45</v>
      </c>
      <c r="D919">
        <v>3</v>
      </c>
    </row>
    <row r="920" spans="2:4" x14ac:dyDescent="0.35">
      <c r="B920" s="6">
        <v>45920</v>
      </c>
      <c r="C920" s="9" t="s">
        <v>132</v>
      </c>
      <c r="D920">
        <v>2</v>
      </c>
    </row>
    <row r="921" spans="2:4" x14ac:dyDescent="0.35">
      <c r="B921" s="6">
        <v>45920</v>
      </c>
      <c r="C921" s="2" t="s">
        <v>113</v>
      </c>
      <c r="D921">
        <v>3</v>
      </c>
    </row>
    <row r="922" spans="2:4" x14ac:dyDescent="0.35">
      <c r="B922" s="6">
        <v>45920</v>
      </c>
      <c r="C922" s="2" t="s">
        <v>107</v>
      </c>
      <c r="D922">
        <v>3</v>
      </c>
    </row>
    <row r="923" spans="2:4" x14ac:dyDescent="0.35">
      <c r="B923" s="6">
        <v>45920</v>
      </c>
      <c r="C923" s="11" t="s">
        <v>217</v>
      </c>
      <c r="D923">
        <v>1</v>
      </c>
    </row>
    <row r="924" spans="2:4" x14ac:dyDescent="0.35">
      <c r="B924" s="6">
        <v>45922</v>
      </c>
      <c r="C924" s="2" t="s">
        <v>96</v>
      </c>
      <c r="D924">
        <v>2</v>
      </c>
    </row>
    <row r="925" spans="2:4" x14ac:dyDescent="0.35">
      <c r="B925" s="6">
        <v>45922</v>
      </c>
      <c r="C925" s="2" t="s">
        <v>111</v>
      </c>
      <c r="D925">
        <v>3</v>
      </c>
    </row>
    <row r="926" spans="2:4" x14ac:dyDescent="0.35">
      <c r="B926" s="6">
        <v>45922</v>
      </c>
      <c r="C926" s="2" t="s">
        <v>91</v>
      </c>
      <c r="D926">
        <v>2</v>
      </c>
    </row>
    <row r="927" spans="2:4" x14ac:dyDescent="0.35">
      <c r="B927" s="6">
        <v>45922</v>
      </c>
      <c r="C927" s="2" t="s">
        <v>109</v>
      </c>
      <c r="D927">
        <v>2</v>
      </c>
    </row>
    <row r="928" spans="2:4" x14ac:dyDescent="0.35">
      <c r="B928" s="6">
        <v>45922</v>
      </c>
      <c r="C928" s="2" t="s">
        <v>108</v>
      </c>
      <c r="D928">
        <v>2</v>
      </c>
    </row>
    <row r="929" spans="2:4" x14ac:dyDescent="0.35">
      <c r="B929" s="6">
        <v>45922</v>
      </c>
      <c r="C929" s="2" t="s">
        <v>64</v>
      </c>
      <c r="D929">
        <v>2</v>
      </c>
    </row>
    <row r="930" spans="2:4" x14ac:dyDescent="0.35">
      <c r="B930" s="6">
        <v>45922</v>
      </c>
      <c r="C930" s="2" t="s">
        <v>92</v>
      </c>
      <c r="D930">
        <v>4</v>
      </c>
    </row>
    <row r="931" spans="2:4" x14ac:dyDescent="0.35">
      <c r="B931" s="6">
        <v>45922</v>
      </c>
      <c r="C931" s="2" t="s">
        <v>98</v>
      </c>
      <c r="D931">
        <v>4</v>
      </c>
    </row>
    <row r="932" spans="2:4" x14ac:dyDescent="0.35">
      <c r="B932" s="6">
        <v>45922</v>
      </c>
      <c r="C932" s="2" t="s">
        <v>94</v>
      </c>
      <c r="D932">
        <v>5</v>
      </c>
    </row>
    <row r="933" spans="2:4" x14ac:dyDescent="0.35">
      <c r="B933" s="6">
        <v>45922</v>
      </c>
      <c r="C933" s="9" t="s">
        <v>216</v>
      </c>
      <c r="D933">
        <v>1</v>
      </c>
    </row>
    <row r="934" spans="2:4" x14ac:dyDescent="0.35">
      <c r="B934" s="6">
        <v>45922</v>
      </c>
      <c r="C934" s="1" t="s">
        <v>7</v>
      </c>
      <c r="D934">
        <v>2</v>
      </c>
    </row>
    <row r="935" spans="2:4" x14ac:dyDescent="0.35">
      <c r="B935" s="6">
        <v>45922</v>
      </c>
      <c r="C935" s="2" t="s">
        <v>67</v>
      </c>
      <c r="D935">
        <v>2</v>
      </c>
    </row>
    <row r="936" spans="2:4" x14ac:dyDescent="0.35">
      <c r="B936" s="6">
        <v>45922</v>
      </c>
      <c r="C936" s="2" t="s">
        <v>78</v>
      </c>
      <c r="D936">
        <v>1</v>
      </c>
    </row>
    <row r="937" spans="2:4" x14ac:dyDescent="0.35">
      <c r="B937" s="6">
        <v>45922</v>
      </c>
      <c r="C937" s="2" t="s">
        <v>82</v>
      </c>
      <c r="D937">
        <v>1</v>
      </c>
    </row>
    <row r="938" spans="2:4" x14ac:dyDescent="0.35">
      <c r="B938" s="6">
        <v>45922</v>
      </c>
      <c r="C938" s="9" t="s">
        <v>176</v>
      </c>
      <c r="D938">
        <v>1</v>
      </c>
    </row>
    <row r="939" spans="2:4" x14ac:dyDescent="0.35">
      <c r="B939" s="6">
        <v>45922</v>
      </c>
      <c r="C939" s="2" t="s">
        <v>61</v>
      </c>
      <c r="D939">
        <v>2</v>
      </c>
    </row>
    <row r="940" spans="2:4" x14ac:dyDescent="0.35">
      <c r="B940" s="6">
        <v>45922</v>
      </c>
      <c r="C940" s="2" t="s">
        <v>84</v>
      </c>
      <c r="D940">
        <v>2</v>
      </c>
    </row>
    <row r="941" spans="2:4" x14ac:dyDescent="0.35">
      <c r="B941" s="6">
        <v>45922</v>
      </c>
      <c r="C941" s="2" t="s">
        <v>70</v>
      </c>
      <c r="D941">
        <v>4</v>
      </c>
    </row>
    <row r="942" spans="2:4" x14ac:dyDescent="0.35">
      <c r="B942" s="6">
        <v>45922</v>
      </c>
      <c r="C942" s="2" t="s">
        <v>75</v>
      </c>
      <c r="D942">
        <v>4</v>
      </c>
    </row>
    <row r="943" spans="2:4" x14ac:dyDescent="0.35">
      <c r="B943" s="6">
        <v>45922</v>
      </c>
      <c r="C943" s="2" t="s">
        <v>73</v>
      </c>
      <c r="D943">
        <v>4</v>
      </c>
    </row>
    <row r="944" spans="2:4" x14ac:dyDescent="0.35">
      <c r="B944" s="6">
        <v>45922</v>
      </c>
      <c r="C944" s="9" t="s">
        <v>202</v>
      </c>
      <c r="D944">
        <v>5</v>
      </c>
    </row>
    <row r="945" spans="2:4" x14ac:dyDescent="0.35">
      <c r="B945" s="6">
        <v>45922</v>
      </c>
      <c r="C945" s="9" t="s">
        <v>203</v>
      </c>
      <c r="D945">
        <v>5</v>
      </c>
    </row>
    <row r="946" spans="2:4" x14ac:dyDescent="0.35">
      <c r="B946" s="6">
        <v>45922</v>
      </c>
      <c r="C946" s="9" t="s">
        <v>204</v>
      </c>
      <c r="D946">
        <v>5</v>
      </c>
    </row>
    <row r="947" spans="2:4" x14ac:dyDescent="0.35">
      <c r="B947" s="6">
        <v>45922</v>
      </c>
      <c r="C947" s="9" t="s">
        <v>205</v>
      </c>
      <c r="D947">
        <v>5</v>
      </c>
    </row>
    <row r="948" spans="2:4" x14ac:dyDescent="0.35">
      <c r="B948" s="6">
        <v>45922</v>
      </c>
      <c r="C948" s="9" t="s">
        <v>210</v>
      </c>
      <c r="D948">
        <v>5</v>
      </c>
    </row>
    <row r="949" spans="2:4" x14ac:dyDescent="0.35">
      <c r="B949" s="6">
        <v>45922</v>
      </c>
      <c r="C949" s="9" t="s">
        <v>211</v>
      </c>
      <c r="D949">
        <v>5</v>
      </c>
    </row>
    <row r="950" spans="2:4" x14ac:dyDescent="0.35">
      <c r="B950" s="6">
        <v>45922</v>
      </c>
      <c r="C950" s="9" t="s">
        <v>212</v>
      </c>
      <c r="D950">
        <v>5</v>
      </c>
    </row>
    <row r="951" spans="2:4" x14ac:dyDescent="0.35">
      <c r="B951" s="6">
        <v>45922</v>
      </c>
      <c r="C951" s="9" t="s">
        <v>181</v>
      </c>
      <c r="D951">
        <v>2</v>
      </c>
    </row>
    <row r="952" spans="2:4" x14ac:dyDescent="0.35">
      <c r="B952" s="6">
        <v>45923</v>
      </c>
      <c r="C952" s="2" t="s">
        <v>53</v>
      </c>
      <c r="D952">
        <v>5</v>
      </c>
    </row>
    <row r="953" spans="2:4" x14ac:dyDescent="0.35">
      <c r="B953" s="6">
        <v>45923</v>
      </c>
      <c r="C953" s="2" t="s">
        <v>54</v>
      </c>
      <c r="D953">
        <v>5</v>
      </c>
    </row>
    <row r="954" spans="2:4" x14ac:dyDescent="0.35">
      <c r="B954" s="6">
        <v>45923</v>
      </c>
      <c r="C954" s="2" t="s">
        <v>51</v>
      </c>
      <c r="D954">
        <v>5</v>
      </c>
    </row>
    <row r="955" spans="2:4" x14ac:dyDescent="0.35">
      <c r="B955" s="6">
        <v>45923</v>
      </c>
      <c r="C955" s="2" t="s">
        <v>52</v>
      </c>
      <c r="D955">
        <v>5</v>
      </c>
    </row>
    <row r="956" spans="2:4" x14ac:dyDescent="0.35">
      <c r="B956" s="6">
        <v>45923</v>
      </c>
      <c r="C956" s="2" t="s">
        <v>50</v>
      </c>
      <c r="D956">
        <v>5</v>
      </c>
    </row>
    <row r="957" spans="2:4" x14ac:dyDescent="0.35">
      <c r="B957" s="6">
        <v>45923</v>
      </c>
      <c r="C957" s="2" t="s">
        <v>101</v>
      </c>
      <c r="D957">
        <v>1</v>
      </c>
    </row>
    <row r="958" spans="2:4" x14ac:dyDescent="0.35">
      <c r="B958" s="6">
        <v>45923</v>
      </c>
      <c r="C958" s="2" t="s">
        <v>103</v>
      </c>
      <c r="D958">
        <v>1</v>
      </c>
    </row>
    <row r="959" spans="2:4" x14ac:dyDescent="0.35">
      <c r="B959" s="6">
        <v>45923</v>
      </c>
      <c r="C959" s="2" t="s">
        <v>101</v>
      </c>
      <c r="D959">
        <v>1</v>
      </c>
    </row>
  </sheetData>
  <conditionalFormatting sqref="B2:B17">
    <cfRule type="timePeriod" dxfId="0" priority="1" timePeriod="lastMonth">
      <formula>AND(MONTH(B2)=MONTH(EDATE(TODAY(),0-1)),YEAR(B2)=YEAR(EDATE(TODAY(),0-1)))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KATALOG BARANG</vt:lpstr>
      <vt:lpstr>BARANG MASUK</vt:lpstr>
      <vt:lpstr>BARANG TERJUAL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tosiba</dc:creator>
  <cp:lastModifiedBy>tosiba</cp:lastModifiedBy>
  <dcterms:created xsi:type="dcterms:W3CDTF">2025-06-20T11:13:26Z</dcterms:created>
  <dcterms:modified xsi:type="dcterms:W3CDTF">2025-11-22T22:56:11Z</dcterms:modified>
</cp:coreProperties>
</file>